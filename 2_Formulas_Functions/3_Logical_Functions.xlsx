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8ad526261db1a04/Documents/DATA ANALYST/EXCEL/LUKE BAROUSSE/2_Formulas_Functions/"/>
    </mc:Choice>
  </mc:AlternateContent>
  <xr:revisionPtr revIDLastSave="1" documentId="13_ncr:1_{B4DACF0C-E6D1-403B-A48D-03B483E33508}" xr6:coauthVersionLast="47" xr6:coauthVersionMax="47" xr10:uidLastSave="{2AB4D0BC-F225-429B-9D3E-0F7B90DCE426}"/>
  <bookViews>
    <workbookView xWindow="-108" yWindow="-108" windowWidth="23256" windowHeight="12456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0" l="1" a="1"/>
  <c r="R3" i="10" s="1"/>
  <c r="R4" i="10" a="1"/>
  <c r="R4" i="10" s="1"/>
  <c r="R5" i="10" a="1"/>
  <c r="R5" i="10" s="1"/>
  <c r="R6" i="10" a="1"/>
  <c r="R6" i="10"/>
  <c r="R7" i="10" a="1"/>
  <c r="R7" i="10"/>
  <c r="R8" i="10" a="1"/>
  <c r="R8" i="10" s="1"/>
  <c r="R9" i="10" a="1"/>
  <c r="R9" i="10" s="1"/>
  <c r="R10" i="10" a="1"/>
  <c r="R10" i="10"/>
  <c r="R11" i="10" a="1"/>
  <c r="R11" i="10"/>
  <c r="R12" i="10" a="1"/>
  <c r="R12" i="10" s="1"/>
  <c r="R13" i="10" a="1"/>
  <c r="R13" i="10" s="1"/>
  <c r="R14" i="10" a="1"/>
  <c r="R14" i="10"/>
  <c r="R15" i="10" a="1"/>
  <c r="R15" i="10"/>
  <c r="R16" i="10" a="1"/>
  <c r="R16" i="10" s="1"/>
  <c r="R17" i="10" a="1"/>
  <c r="R17" i="10" s="1"/>
  <c r="R18" i="10" a="1"/>
  <c r="R18" i="10"/>
  <c r="R19" i="10" a="1"/>
  <c r="R19" i="10"/>
  <c r="R20" i="10" a="1"/>
  <c r="R20" i="10" s="1"/>
  <c r="R21" i="10" a="1"/>
  <c r="R21" i="10" s="1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D4" i="12"/>
  <c r="D5" i="12"/>
  <c r="D6" i="12"/>
  <c r="E4" i="12"/>
  <c r="E5" i="12"/>
  <c r="E6" i="12"/>
  <c r="E3" i="12"/>
  <c r="D3" i="12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3" i="10"/>
  <c r="M2" i="10"/>
  <c r="K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5" i="10"/>
  <c r="K3" i="10"/>
  <c r="K4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<sst xmlns="http://schemas.openxmlformats.org/spreadsheetml/2006/main" count="395" uniqueCount="144">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</sst>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R9" sqref="R9"/>
    </sheetView>
  </sheetViews>
  <sheetFormatPr baseColWidth="10" defaultColWidth="9.109375" defaultRowHeight="14.4" x14ac:dyDescent="0.3"/>
  <cols>
    <col min="1" max="1" width="5.109375" style="1" customWidth="1"/>
    <col min="2" max="2" width="22.6640625" style="1" bestFit="1" customWidth="1"/>
    <col min="3" max="3" width="18.21875" style="1" bestFit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customWidth="1"/>
    <col min="13" max="13" width="9.109375" style="1" customWidth="1"/>
    <col min="14" max="14" width="10.44140625" style="1" hidden="1" customWidth="1"/>
    <col min="15" max="15" width="14.109375" style="1" hidden="1" customWidth="1"/>
    <col min="16" max="16" width="9.6640625" style="1" customWidth="1"/>
    <col min="17" max="17" width="9.109375" style="1"/>
    <col min="18" max="18" width="14.109375" style="1" bestFit="1" customWidth="1"/>
    <col min="19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baseColWidth="10" defaultColWidth="9.109375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hidden="1" customWidth="1"/>
    <col min="13" max="13" width="9.109375" style="1" hidden="1" customWidth="1"/>
    <col min="14" max="14" width="10.44140625" style="1" hidden="1" customWidth="1"/>
    <col min="15" max="15" width="14.109375" style="1" hidden="1" customWidth="1"/>
    <col min="16" max="16" width="9.6640625" style="1" hidden="1" customWidth="1"/>
    <col min="17" max="17" width="9.6640625" style="1" customWidth="1"/>
    <col min="18" max="18" width="9.109375" style="1"/>
    <col min="19" max="19" width="14.109375" style="1" bestFit="1" customWidth="1"/>
    <col min="20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Q14" sqref="Q14"/>
    </sheetView>
  </sheetViews>
  <sheetFormatPr baseColWidth="10" defaultColWidth="8.88671875" defaultRowHeight="14.4" x14ac:dyDescent="0.3"/>
  <cols>
    <col min="1" max="1" width="16.88671875" bestFit="1" customWidth="1"/>
    <col min="2" max="2" width="19.10937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1" hidden="1" customWidth="1"/>
    <col min="12" max="12" width="14.21875" hidden="1" customWidth="1"/>
    <col min="13" max="13" width="10.6640625" hidden="1" customWidth="1"/>
    <col min="14" max="14" width="7.109375" hidden="1" customWidth="1"/>
    <col min="15" max="15" width="5.33203125" hidden="1" customWidth="1"/>
    <col min="16" max="16" width="10.6640625" bestFit="1" customWidth="1"/>
    <col min="17" max="18" width="9.77734375" bestFit="1" customWidth="1"/>
  </cols>
  <sheetData>
    <row r="1" spans="1:18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">
      <c r="A2" s="27" t="s">
        <v>56</v>
      </c>
      <c r="B2" s="46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IF($A2=K$1,"Desired","Not Desired")</f>
        <v>Not Desired</v>
      </c>
      <c r="L2" t="str">
        <f>IF($A2=L$1,"Desired","Not Desired")</f>
        <v>Not Desired</v>
      </c>
      <c r="M2" t="str">
        <f>IF($A2=K$1,"Desired",IF($A2=L$1,"Desired","Not Desired"))</f>
        <v>Not Desired</v>
      </c>
      <c r="N2" t="b">
        <f>AND(A2=K$1,A2=L$1)</f>
        <v>0</v>
      </c>
      <c r="O2" t="b">
        <f>OR(A2=K$1,A2=L$1)</f>
        <v>0</v>
      </c>
      <c r="P2" t="str">
        <f>IF(OR(A2=K$1,A2=L$1),"Desired","Not Desired")</f>
        <v>Not Desired</v>
      </c>
      <c r="Q2" t="str">
        <f>IF(H2&gt;=Q$1,"Salary&gt;85k","Salary Low")</f>
        <v>Salary&gt;85k</v>
      </c>
      <c r="R2" t="str" cm="1">
        <f t="array" ref="R2">_xlfn.IFS(H2&gt;=Q1,"salary&gt;85K",H2="","No Data",TRUE,"Salary Low")</f>
        <v>salary&gt;85K</v>
      </c>
    </row>
    <row r="3" spans="1:18" x14ac:dyDescent="0.3">
      <c r="A3" s="27" t="s">
        <v>2</v>
      </c>
      <c r="B3" s="46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>IF($A3=K$1,"Desired","Not Desired")</f>
        <v>Desired</v>
      </c>
      <c r="L3" t="str">
        <f t="shared" ref="L3:L21" si="0">IF($A3=L$1,"Desired","Not Desired")</f>
        <v>Not Desired</v>
      </c>
      <c r="M3" t="str">
        <f>IF($A3=K$1,"Desired",IF($A3=L$1,"Desired","Not Desired"))</f>
        <v>Desired</v>
      </c>
      <c r="N3" t="b">
        <f t="shared" ref="N3:N21" si="1">AND(A3=K$1,A3=L$1)</f>
        <v>0</v>
      </c>
      <c r="O3" t="b">
        <f t="shared" ref="O3:O21" si="2">OR(A3=K$1,A3=L$1)</f>
        <v>1</v>
      </c>
      <c r="P3" t="str">
        <f t="shared" ref="P3:P21" si="3">IF(OR(A3=K$1,A3=L$1),"Desired","Not Desired")</f>
        <v>Desired</v>
      </c>
      <c r="Q3" t="str">
        <f t="shared" ref="Q3:Q21" si="4">IF(H3&gt;=Q$1,"Salary&gt;85k","Salary Low")</f>
        <v>Salary Low</v>
      </c>
      <c r="R3" t="str" cm="1">
        <f t="array" ref="R3">_xlfn.IFS(H3&gt;=Q2,"salary&gt;85K",H3="","No Data",TRUE,"Salary Low")</f>
        <v>Salary Low</v>
      </c>
    </row>
    <row r="4" spans="1:18" x14ac:dyDescent="0.3">
      <c r="A4" s="27" t="s">
        <v>2</v>
      </c>
      <c r="B4" s="46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ref="K3:K21" si="5">IF($A4=K$1,"Desired","Not Desired")</f>
        <v>Desired</v>
      </c>
      <c r="L4" t="str">
        <f t="shared" si="0"/>
        <v>Not Desired</v>
      </c>
      <c r="M4" t="str">
        <f t="shared" ref="M4:M21" si="6">IF($A4=K$1,"Desired",IF($A4=L$1,"Desired","Not Desired"))</f>
        <v>Desired</v>
      </c>
      <c r="N4" t="b">
        <f t="shared" si="1"/>
        <v>0</v>
      </c>
      <c r="O4" t="b">
        <f t="shared" si="2"/>
        <v>1</v>
      </c>
      <c r="P4" t="str">
        <f t="shared" si="3"/>
        <v>Desired</v>
      </c>
      <c r="Q4" t="str">
        <f t="shared" si="4"/>
        <v>Salary Low</v>
      </c>
      <c r="R4" t="str" cm="1">
        <f t="array" ref="R4">_xlfn.IFS(H4&gt;=Q3,"salary&gt;85K",H4="","No Data",TRUE,"Salary Low")</f>
        <v>No Data</v>
      </c>
    </row>
    <row r="5" spans="1:18" x14ac:dyDescent="0.3">
      <c r="A5" s="27" t="s">
        <v>0</v>
      </c>
      <c r="B5" s="46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>IF($A5=K$1,"Desired","Not Desired")</f>
        <v>Not Desired</v>
      </c>
      <c r="L5" t="str">
        <f t="shared" si="0"/>
        <v>Not Desired</v>
      </c>
      <c r="M5" t="str">
        <f t="shared" si="6"/>
        <v>Not Desired</v>
      </c>
      <c r="N5" t="b">
        <f t="shared" si="1"/>
        <v>0</v>
      </c>
      <c r="O5" t="b">
        <f t="shared" si="2"/>
        <v>0</v>
      </c>
      <c r="P5" t="str">
        <f t="shared" si="3"/>
        <v>Not Desired</v>
      </c>
      <c r="Q5" t="str">
        <f t="shared" si="4"/>
        <v>Salary Low</v>
      </c>
      <c r="R5" t="str" cm="1">
        <f t="array" ref="R5">_xlfn.IFS(H5&gt;=Q4,"salary&gt;85K",H5="","No Data",TRUE,"Salary Low")</f>
        <v>No Data</v>
      </c>
    </row>
    <row r="6" spans="1:18" x14ac:dyDescent="0.3">
      <c r="A6" s="27" t="s">
        <v>76</v>
      </c>
      <c r="B6" s="46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5"/>
        <v>Not Desired</v>
      </c>
      <c r="L6" t="str">
        <f t="shared" si="0"/>
        <v>Not Desired</v>
      </c>
      <c r="M6" t="str">
        <f t="shared" si="6"/>
        <v>Not Desired</v>
      </c>
      <c r="N6" t="b">
        <f t="shared" si="1"/>
        <v>0</v>
      </c>
      <c r="O6" t="b">
        <f t="shared" si="2"/>
        <v>0</v>
      </c>
      <c r="P6" t="str">
        <f t="shared" si="3"/>
        <v>Not Desired</v>
      </c>
      <c r="Q6" t="str">
        <f t="shared" si="4"/>
        <v>Salary Low</v>
      </c>
      <c r="R6" t="str" cm="1">
        <f t="array" ref="R6">_xlfn.IFS(H6&gt;=Q5,"salary&gt;85K",H6="","No Data",TRUE,"Salary Low")</f>
        <v>No Data</v>
      </c>
    </row>
    <row r="7" spans="1:18" x14ac:dyDescent="0.3">
      <c r="A7" s="27" t="s">
        <v>0</v>
      </c>
      <c r="B7" s="46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5"/>
        <v>Not Desired</v>
      </c>
      <c r="L7" t="str">
        <f t="shared" si="0"/>
        <v>Not Desired</v>
      </c>
      <c r="M7" t="str">
        <f t="shared" si="6"/>
        <v>Not Desired</v>
      </c>
      <c r="N7" t="b">
        <f t="shared" si="1"/>
        <v>0</v>
      </c>
      <c r="O7" t="b">
        <f t="shared" si="2"/>
        <v>0</v>
      </c>
      <c r="P7" t="str">
        <f t="shared" si="3"/>
        <v>Not Desired</v>
      </c>
      <c r="Q7" t="str">
        <f t="shared" si="4"/>
        <v>Salary Low</v>
      </c>
      <c r="R7" t="str" cm="1">
        <f t="array" ref="R7">_xlfn.IFS(H7&gt;=Q6,"salary&gt;85K",H7="","No Data",TRUE,"Salary Low")</f>
        <v>No Data</v>
      </c>
    </row>
    <row r="8" spans="1:18" x14ac:dyDescent="0.3">
      <c r="A8" s="27" t="s">
        <v>2</v>
      </c>
      <c r="B8" s="46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5"/>
        <v>Desired</v>
      </c>
      <c r="L8" t="str">
        <f t="shared" si="0"/>
        <v>Not Desired</v>
      </c>
      <c r="M8" t="str">
        <f t="shared" si="6"/>
        <v>Desired</v>
      </c>
      <c r="N8" t="b">
        <f t="shared" si="1"/>
        <v>0</v>
      </c>
      <c r="O8" t="b">
        <f t="shared" si="2"/>
        <v>1</v>
      </c>
      <c r="P8" t="str">
        <f t="shared" si="3"/>
        <v>Desired</v>
      </c>
      <c r="Q8" t="str">
        <f t="shared" si="4"/>
        <v>Salary Low</v>
      </c>
      <c r="R8" t="str" cm="1">
        <f t="array" ref="R8">_xlfn.IFS(H8&gt;=Q7,"salary&gt;85K",H8="","No Data",TRUE,"Salary Low")</f>
        <v>No Data</v>
      </c>
    </row>
    <row r="9" spans="1:18" x14ac:dyDescent="0.3">
      <c r="A9" s="27" t="s">
        <v>2</v>
      </c>
      <c r="B9" s="46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5"/>
        <v>Desired</v>
      </c>
      <c r="L9" t="str">
        <f t="shared" si="0"/>
        <v>Not Desired</v>
      </c>
      <c r="M9" t="str">
        <f t="shared" si="6"/>
        <v>Desired</v>
      </c>
      <c r="N9" t="b">
        <f t="shared" si="1"/>
        <v>0</v>
      </c>
      <c r="O9" t="b">
        <f t="shared" si="2"/>
        <v>1</v>
      </c>
      <c r="P9" t="str">
        <f t="shared" si="3"/>
        <v>Desired</v>
      </c>
      <c r="Q9" t="str">
        <f t="shared" si="4"/>
        <v>Salary&gt;85k</v>
      </c>
      <c r="R9" t="str" cm="1">
        <f t="array" ref="R9">_xlfn.IFS(H9&gt;=Q8,"salary&gt;85K",H9="","No Data",TRUE,"Salary Low")</f>
        <v>Salary Low</v>
      </c>
    </row>
    <row r="10" spans="1:18" x14ac:dyDescent="0.3">
      <c r="A10" s="27" t="s">
        <v>2</v>
      </c>
      <c r="B10" s="46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5"/>
        <v>Desired</v>
      </c>
      <c r="L10" t="str">
        <f t="shared" si="0"/>
        <v>Not Desired</v>
      </c>
      <c r="M10" t="str">
        <f t="shared" si="6"/>
        <v>Desired</v>
      </c>
      <c r="N10" t="b">
        <f t="shared" si="1"/>
        <v>0</v>
      </c>
      <c r="O10" t="b">
        <f t="shared" si="2"/>
        <v>1</v>
      </c>
      <c r="P10" t="str">
        <f t="shared" si="3"/>
        <v>Desired</v>
      </c>
      <c r="Q10" t="str">
        <f t="shared" si="4"/>
        <v>Salary Low</v>
      </c>
      <c r="R10" t="str" cm="1">
        <f t="array" ref="R10">_xlfn.IFS(H10&gt;=Q9,"salary&gt;85K",H10="","No Data",TRUE,"Salary Low")</f>
        <v>No Data</v>
      </c>
    </row>
    <row r="11" spans="1:18" x14ac:dyDescent="0.3">
      <c r="A11" s="27" t="s">
        <v>2</v>
      </c>
      <c r="B11" s="46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5"/>
        <v>Desired</v>
      </c>
      <c r="L11" t="str">
        <f t="shared" si="0"/>
        <v>Not Desired</v>
      </c>
      <c r="M11" t="str">
        <f t="shared" si="6"/>
        <v>Desired</v>
      </c>
      <c r="N11" t="b">
        <f t="shared" si="1"/>
        <v>0</v>
      </c>
      <c r="O11" t="b">
        <f t="shared" si="2"/>
        <v>1</v>
      </c>
      <c r="P11" t="str">
        <f t="shared" si="3"/>
        <v>Desired</v>
      </c>
      <c r="Q11" t="str">
        <f t="shared" si="4"/>
        <v>Salary&gt;85k</v>
      </c>
      <c r="R11" t="str" cm="1">
        <f t="array" ref="R11">_xlfn.IFS(H11&gt;=Q10,"salary&gt;85K",H11="","No Data",TRUE,"Salary Low")</f>
        <v>Salary Low</v>
      </c>
    </row>
    <row r="12" spans="1:18" x14ac:dyDescent="0.3">
      <c r="A12" s="27" t="s">
        <v>0</v>
      </c>
      <c r="B12" s="46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5"/>
        <v>Not Desired</v>
      </c>
      <c r="L12" t="str">
        <f t="shared" si="0"/>
        <v>Not Desired</v>
      </c>
      <c r="M12" t="str">
        <f t="shared" si="6"/>
        <v>Not Desired</v>
      </c>
      <c r="N12" t="b">
        <f t="shared" si="1"/>
        <v>0</v>
      </c>
      <c r="O12" t="b">
        <f t="shared" si="2"/>
        <v>0</v>
      </c>
      <c r="P12" t="str">
        <f t="shared" si="3"/>
        <v>Not Desired</v>
      </c>
      <c r="Q12" t="str">
        <f t="shared" si="4"/>
        <v>Salary&gt;85k</v>
      </c>
      <c r="R12" t="str" cm="1">
        <f t="array" ref="R12">_xlfn.IFS(H12&gt;=Q11,"salary&gt;85K",H12="","No Data",TRUE,"Salary Low")</f>
        <v>Salary Low</v>
      </c>
    </row>
    <row r="13" spans="1:18" x14ac:dyDescent="0.3">
      <c r="A13" s="27" t="s">
        <v>102</v>
      </c>
      <c r="B13" s="46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5"/>
        <v>Not Desired</v>
      </c>
      <c r="L13" t="str">
        <f t="shared" si="0"/>
        <v>Not Desired</v>
      </c>
      <c r="M13" t="str">
        <f t="shared" si="6"/>
        <v>Not Desired</v>
      </c>
      <c r="N13" t="b">
        <f t="shared" si="1"/>
        <v>0</v>
      </c>
      <c r="O13" t="b">
        <f t="shared" si="2"/>
        <v>0</v>
      </c>
      <c r="P13" t="str">
        <f t="shared" si="3"/>
        <v>Not Desired</v>
      </c>
      <c r="Q13" t="str">
        <f t="shared" si="4"/>
        <v>Salary&gt;85k</v>
      </c>
      <c r="R13" t="str" cm="1">
        <f t="array" ref="R13">_xlfn.IFS(H13&gt;=Q12,"salary&gt;85K",H13="","No Data",TRUE,"Salary Low")</f>
        <v>Salary Low</v>
      </c>
    </row>
    <row r="14" spans="1:18" x14ac:dyDescent="0.3">
      <c r="A14" s="27" t="s">
        <v>0</v>
      </c>
      <c r="B14" s="46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5"/>
        <v>Not Desired</v>
      </c>
      <c r="L14" t="str">
        <f t="shared" si="0"/>
        <v>Not Desired</v>
      </c>
      <c r="M14" t="str">
        <f t="shared" si="6"/>
        <v>Not Desired</v>
      </c>
      <c r="N14" t="b">
        <f t="shared" si="1"/>
        <v>0</v>
      </c>
      <c r="O14" t="b">
        <f t="shared" si="2"/>
        <v>0</v>
      </c>
      <c r="P14" t="str">
        <f t="shared" si="3"/>
        <v>Not Desired</v>
      </c>
      <c r="Q14" t="str">
        <f t="shared" si="4"/>
        <v>Salary&gt;85k</v>
      </c>
      <c r="R14" t="str" cm="1">
        <f t="array" ref="R14">_xlfn.IFS(H14&gt;=Q13,"salary&gt;85K",H14="","No Data",TRUE,"Salary Low")</f>
        <v>Salary Low</v>
      </c>
    </row>
    <row r="15" spans="1:18" x14ac:dyDescent="0.3">
      <c r="A15" s="27" t="s">
        <v>0</v>
      </c>
      <c r="B15" s="46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5"/>
        <v>Not Desired</v>
      </c>
      <c r="L15" t="str">
        <f t="shared" si="0"/>
        <v>Not Desired</v>
      </c>
      <c r="M15" t="str">
        <f t="shared" si="6"/>
        <v>Not Desired</v>
      </c>
      <c r="N15" t="b">
        <f t="shared" si="1"/>
        <v>0</v>
      </c>
      <c r="O15" t="b">
        <f t="shared" si="2"/>
        <v>0</v>
      </c>
      <c r="P15" t="str">
        <f t="shared" si="3"/>
        <v>Not Desired</v>
      </c>
      <c r="Q15" t="str">
        <f t="shared" si="4"/>
        <v>Salary Low</v>
      </c>
      <c r="R15" t="str" cm="1">
        <f t="array" ref="R15">_xlfn.IFS(H15&gt;=Q14,"salary&gt;85K",H15="","No Data",TRUE,"Salary Low")</f>
        <v>Salary Low</v>
      </c>
    </row>
    <row r="16" spans="1:18" x14ac:dyDescent="0.3">
      <c r="A16" s="27" t="s">
        <v>4</v>
      </c>
      <c r="B16" s="46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5"/>
        <v>Not Desired</v>
      </c>
      <c r="L16" t="str">
        <f t="shared" si="0"/>
        <v>Not Desired</v>
      </c>
      <c r="M16" t="str">
        <f t="shared" si="6"/>
        <v>Not Desired</v>
      </c>
      <c r="N16" t="b">
        <f t="shared" si="1"/>
        <v>0</v>
      </c>
      <c r="O16" t="b">
        <f t="shared" si="2"/>
        <v>0</v>
      </c>
      <c r="P16" t="str">
        <f t="shared" si="3"/>
        <v>Not Desired</v>
      </c>
      <c r="Q16" t="str">
        <f t="shared" si="4"/>
        <v>Salary&gt;85k</v>
      </c>
      <c r="R16" t="str" cm="1">
        <f t="array" ref="R16">_xlfn.IFS(H16&gt;=Q15,"salary&gt;85K",H16="","No Data",TRUE,"Salary Low")</f>
        <v>Salary Low</v>
      </c>
    </row>
    <row r="17" spans="1:18" x14ac:dyDescent="0.3">
      <c r="A17" s="27" t="s">
        <v>4</v>
      </c>
      <c r="B17" s="46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5"/>
        <v>Not Desired</v>
      </c>
      <c r="L17" t="str">
        <f t="shared" si="0"/>
        <v>Not Desired</v>
      </c>
      <c r="M17" t="str">
        <f t="shared" si="6"/>
        <v>Not Desired</v>
      </c>
      <c r="N17" t="b">
        <f t="shared" si="1"/>
        <v>0</v>
      </c>
      <c r="O17" t="b">
        <f t="shared" si="2"/>
        <v>0</v>
      </c>
      <c r="P17" t="str">
        <f t="shared" si="3"/>
        <v>Not Desired</v>
      </c>
      <c r="Q17" t="str">
        <f t="shared" si="4"/>
        <v>Salary&gt;85k</v>
      </c>
      <c r="R17" t="str" cm="1">
        <f t="array" ref="R17">_xlfn.IFS(H17&gt;=Q16,"salary&gt;85K",H17="","No Data",TRUE,"Salary Low")</f>
        <v>Salary Low</v>
      </c>
    </row>
    <row r="18" spans="1:18" x14ac:dyDescent="0.3">
      <c r="A18" s="27" t="s">
        <v>123</v>
      </c>
      <c r="B18" s="46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5"/>
        <v>Not Desired</v>
      </c>
      <c r="L18" t="str">
        <f t="shared" si="0"/>
        <v>Desired</v>
      </c>
      <c r="M18" t="str">
        <f t="shared" si="6"/>
        <v>Desired</v>
      </c>
      <c r="N18" t="b">
        <f t="shared" si="1"/>
        <v>0</v>
      </c>
      <c r="O18" t="b">
        <f t="shared" si="2"/>
        <v>1</v>
      </c>
      <c r="P18" t="str">
        <f t="shared" si="3"/>
        <v>Desired</v>
      </c>
      <c r="Q18" t="str">
        <f t="shared" si="4"/>
        <v>Salary Low</v>
      </c>
      <c r="R18" t="str" cm="1">
        <f t="array" ref="R18">_xlfn.IFS(H18&gt;=Q17,"salary&gt;85K",H18="","No Data",TRUE,"Salary Low")</f>
        <v>No Data</v>
      </c>
    </row>
    <row r="19" spans="1:18" x14ac:dyDescent="0.3">
      <c r="A19" s="27" t="s">
        <v>0</v>
      </c>
      <c r="B19" s="46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5"/>
        <v>Not Desired</v>
      </c>
      <c r="L19" t="str">
        <f t="shared" si="0"/>
        <v>Not Desired</v>
      </c>
      <c r="M19" t="str">
        <f t="shared" si="6"/>
        <v>Not Desired</v>
      </c>
      <c r="N19" t="b">
        <f t="shared" si="1"/>
        <v>0</v>
      </c>
      <c r="O19" t="b">
        <f t="shared" si="2"/>
        <v>0</v>
      </c>
      <c r="P19" t="str">
        <f t="shared" si="3"/>
        <v>Not Desired</v>
      </c>
      <c r="Q19" t="str">
        <f t="shared" si="4"/>
        <v>Salary&gt;85k</v>
      </c>
      <c r="R19" t="str" cm="1">
        <f t="array" ref="R19">_xlfn.IFS(H19&gt;=Q18,"salary&gt;85K",H19="","No Data",TRUE,"Salary Low")</f>
        <v>Salary Low</v>
      </c>
    </row>
    <row r="20" spans="1:18" x14ac:dyDescent="0.3">
      <c r="A20" s="27" t="s">
        <v>0</v>
      </c>
      <c r="B20" s="46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5"/>
        <v>Not Desired</v>
      </c>
      <c r="L20" t="str">
        <f t="shared" si="0"/>
        <v>Not Desired</v>
      </c>
      <c r="M20" t="str">
        <f t="shared" si="6"/>
        <v>Not Desired</v>
      </c>
      <c r="N20" t="b">
        <f t="shared" si="1"/>
        <v>0</v>
      </c>
      <c r="O20" t="b">
        <f t="shared" si="2"/>
        <v>0</v>
      </c>
      <c r="P20" t="str">
        <f t="shared" si="3"/>
        <v>Not Desired</v>
      </c>
      <c r="Q20" t="str">
        <f t="shared" si="4"/>
        <v>Salary Low</v>
      </c>
      <c r="R20" t="str" cm="1">
        <f t="array" ref="R20">_xlfn.IFS(H20&gt;=Q19,"salary&gt;85K",H20="","No Data",TRUE,"Salary Low")</f>
        <v>No Data</v>
      </c>
    </row>
    <row r="21" spans="1:18" x14ac:dyDescent="0.3">
      <c r="A21" s="27" t="s">
        <v>123</v>
      </c>
      <c r="B21" s="46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5"/>
        <v>Not Desired</v>
      </c>
      <c r="L21" t="str">
        <f t="shared" si="0"/>
        <v>Desired</v>
      </c>
      <c r="M21" t="str">
        <f t="shared" si="6"/>
        <v>Desired</v>
      </c>
      <c r="N21" t="b">
        <f t="shared" si="1"/>
        <v>0</v>
      </c>
      <c r="O21" t="b">
        <f t="shared" si="2"/>
        <v>1</v>
      </c>
      <c r="P21" t="str">
        <f t="shared" si="3"/>
        <v>Desired</v>
      </c>
      <c r="Q21" t="str">
        <f t="shared" si="4"/>
        <v>Salary&gt;85k</v>
      </c>
      <c r="R21" t="str" cm="1">
        <f t="array" ref="R21">_xlfn.IFS(H21&gt;=Q20,"salary&gt;85K",H21="","No Data",TRUE,"Salary Low")</f>
        <v>Salary Low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baseColWidth="10" defaultColWidth="8.88671875" defaultRowHeight="14.4" x14ac:dyDescent="0.3"/>
  <cols>
    <col min="1" max="1" width="16.88671875" bestFit="1" customWidth="1"/>
    <col min="2" max="2" width="17.4414062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5.88671875" bestFit="1" customWidth="1"/>
    <col min="12" max="12" width="19.109375" bestFit="1" customWidth="1"/>
    <col min="13" max="13" width="14.21875" bestFit="1" customWidth="1"/>
    <col min="14" max="14" width="11.21875" bestFit="1" customWidth="1"/>
    <col min="15" max="15" width="10.109375" bestFit="1" customWidth="1"/>
    <col min="16" max="16" width="14.21875" bestFit="1" customWidth="1"/>
    <col min="17" max="17" width="10.6640625" bestFit="1" customWidth="1"/>
    <col min="18" max="18" width="12.44140625" bestFit="1" customWidth="1"/>
  </cols>
  <sheetData>
    <row r="1" spans="1:18 16384:16384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5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">
      <c r="A2" s="27" t="s">
        <v>56</v>
      </c>
      <c r="B2" s="46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">
      <c r="A3" s="27" t="s">
        <v>2</v>
      </c>
      <c r="B3" s="46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">
      <c r="A4" s="27" t="s">
        <v>2</v>
      </c>
      <c r="B4" s="46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">
      <c r="A5" s="27" t="s">
        <v>0</v>
      </c>
      <c r="B5" s="46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">
      <c r="A6" s="27" t="s">
        <v>76</v>
      </c>
      <c r="B6" s="46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">
      <c r="A7" s="27" t="s">
        <v>0</v>
      </c>
      <c r="B7" s="46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">
      <c r="A8" s="27" t="s">
        <v>2</v>
      </c>
      <c r="B8" s="46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">
      <c r="A9" s="27" t="s">
        <v>2</v>
      </c>
      <c r="B9" s="46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">
      <c r="A10" s="27" t="s">
        <v>2</v>
      </c>
      <c r="B10" s="46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">
      <c r="A11" s="27" t="s">
        <v>2</v>
      </c>
      <c r="B11" s="46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">
      <c r="A12" s="27" t="s">
        <v>0</v>
      </c>
      <c r="B12" s="46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">
      <c r="A13" s="27" t="s">
        <v>102</v>
      </c>
      <c r="B13" s="46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">
      <c r="A14" s="27" t="s">
        <v>0</v>
      </c>
      <c r="B14" s="46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">
      <c r="A15" s="27" t="s">
        <v>0</v>
      </c>
      <c r="B15" s="46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">
      <c r="A16" s="27" t="s">
        <v>4</v>
      </c>
      <c r="B16" s="46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">
      <c r="A17" s="27" t="s">
        <v>4</v>
      </c>
      <c r="B17" s="46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">
      <c r="A18" s="27" t="s">
        <v>123</v>
      </c>
      <c r="B18" s="46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">
      <c r="A19" s="27" t="s">
        <v>0</v>
      </c>
      <c r="B19" s="46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">
      <c r="A20" s="27" t="s">
        <v>0</v>
      </c>
      <c r="B20" s="46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">
      <c r="A21" s="27" t="s">
        <v>123</v>
      </c>
      <c r="B21" s="46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baseColWidth="10" defaultColWidth="8.88671875" defaultRowHeight="14.4" x14ac:dyDescent="0.3"/>
  <cols>
    <col min="1" max="1" width="6.5546875" customWidth="1"/>
    <col min="2" max="2" width="13.44140625" customWidth="1"/>
    <col min="3" max="3" width="31.44140625" bestFit="1" customWidth="1"/>
    <col min="4" max="4" width="60.44140625" bestFit="1" customWidth="1"/>
    <col min="5" max="5" width="19.6640625" bestFit="1" customWidth="1"/>
    <col min="6" max="6" width="17.5546875" bestFit="1" customWidth="1"/>
  </cols>
  <sheetData>
    <row r="2" spans="2:6" x14ac:dyDescent="0.3">
      <c r="B2" s="26" t="s">
        <v>28</v>
      </c>
      <c r="C2" s="26" t="s">
        <v>36</v>
      </c>
      <c r="D2" s="26" t="s">
        <v>29</v>
      </c>
      <c r="E2" s="43" t="s">
        <v>139</v>
      </c>
      <c r="F2" s="43" t="s">
        <v>140</v>
      </c>
    </row>
    <row r="3" spans="2:6" x14ac:dyDescent="0.3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D3" sqref="D3:D6"/>
    </sheetView>
  </sheetViews>
  <sheetFormatPr baseColWidth="10" defaultColWidth="8.88671875" defaultRowHeight="14.4" x14ac:dyDescent="0.3"/>
  <cols>
    <col min="2" max="2" width="9.88671875" bestFit="1" customWidth="1"/>
    <col min="3" max="3" width="10.5546875" customWidth="1"/>
  </cols>
  <sheetData>
    <row r="1" spans="2:5" ht="15" thickBot="1" x14ac:dyDescent="0.35"/>
    <row r="2" spans="2:5" x14ac:dyDescent="0.3">
      <c r="B2" s="36" t="s">
        <v>137</v>
      </c>
      <c r="C2" s="37" t="s">
        <v>138</v>
      </c>
      <c r="D2" s="44" t="s">
        <v>141</v>
      </c>
      <c r="E2" s="44" t="s">
        <v>142</v>
      </c>
    </row>
    <row r="3" spans="2:5" x14ac:dyDescent="0.3">
      <c r="B3" s="38" t="b">
        <v>1</v>
      </c>
      <c r="C3" s="39" t="b">
        <v>1</v>
      </c>
      <c r="D3" s="42" t="b">
        <f>AND(B3:C3)</f>
        <v>1</v>
      </c>
      <c r="E3" s="42" t="b">
        <f>OR(B3:C3)</f>
        <v>1</v>
      </c>
    </row>
    <row r="4" spans="2:5" x14ac:dyDescent="0.3">
      <c r="B4" s="38" t="b">
        <v>1</v>
      </c>
      <c r="C4" s="39" t="b">
        <v>0</v>
      </c>
      <c r="D4" s="42" t="b">
        <f t="shared" ref="D4:D6" si="0">AND(B4:C4)</f>
        <v>0</v>
      </c>
      <c r="E4" s="42" t="b">
        <f t="shared" ref="E4:E6" si="1">OR(B4:C4)</f>
        <v>1</v>
      </c>
    </row>
    <row r="5" spans="2:5" x14ac:dyDescent="0.3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35">
      <c r="B6" s="40" t="b">
        <v>0</v>
      </c>
      <c r="C6" s="41" t="b">
        <v>0</v>
      </c>
      <c r="D6" s="42" t="b">
        <f t="shared" si="0"/>
        <v>0</v>
      </c>
      <c r="E6" s="42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Joe Moussa Diegane Sarr</cp:lastModifiedBy>
  <dcterms:created xsi:type="dcterms:W3CDTF">2024-07-16T20:11:02Z</dcterms:created>
  <dcterms:modified xsi:type="dcterms:W3CDTF">2026-09-05T13:29:44Z</dcterms:modified>
</cp:coreProperties>
</file>