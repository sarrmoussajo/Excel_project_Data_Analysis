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d.docs.live.net/f8ad526261db1a04/Documents/DATA ANALYST/EXCEL/LUKE BAROUSSE/2_Formulas_Functions/"/>
    </mc:Choice>
  </mc:AlternateContent>
  <xr:revisionPtr revIDLastSave="2" documentId="13_ncr:1_{289F5FEB-D4A0-4E30-9E0C-8AA9F558B1FA}" xr6:coauthVersionLast="47" xr6:coauthVersionMax="47" xr10:uidLastSave="{41ED5B5D-9306-4EF8-BDB4-C6B04220F34B}"/>
  <bookViews>
    <workbookView xWindow="-108" yWindow="-108" windowWidth="23256" windowHeight="12456" activeTab="4" xr2:uid="{00000000-000D-0000-FFFF-FFFF00000000}"/>
  </bookViews>
  <sheets>
    <sheet name="Data" sheetId="8" r:id="rId1"/>
    <sheet name="Text_Combination" sheetId="9" r:id="rId2"/>
    <sheet name="Text_Extraction" sheetId="10" r:id="rId3"/>
    <sheet name="Text_Search" sheetId="11" r:id="rId4"/>
    <sheet name="Skills" sheetId="1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 i="10" l="1" a="1"/>
  <c r="L2" i="10" s="1"/>
  <c r="M2" i="10"/>
  <c r="I3" i="10"/>
  <c r="J3" i="10" s="1"/>
  <c r="I4" i="10"/>
  <c r="J4" i="10" s="1"/>
  <c r="I5" i="10"/>
  <c r="J5" i="10"/>
  <c r="I6" i="10"/>
  <c r="J6" i="10"/>
  <c r="I7" i="10"/>
  <c r="J7" i="10" s="1"/>
  <c r="I8" i="10"/>
  <c r="J8" i="10" s="1"/>
  <c r="I9" i="10"/>
  <c r="J9" i="10" s="1"/>
  <c r="I10" i="10"/>
  <c r="J10" i="10"/>
  <c r="I11" i="10"/>
  <c r="J11" i="10" s="1"/>
  <c r="I12" i="10"/>
  <c r="J12" i="10" s="1"/>
  <c r="I13" i="10"/>
  <c r="J13" i="10"/>
  <c r="I14" i="10"/>
  <c r="J14" i="10"/>
  <c r="I15" i="10"/>
  <c r="J15" i="10" s="1"/>
  <c r="I16" i="10"/>
  <c r="J16" i="10" s="1"/>
  <c r="I17" i="10"/>
  <c r="J17" i="10"/>
  <c r="I18" i="10"/>
  <c r="J18" i="10"/>
  <c r="I19" i="10"/>
  <c r="J19" i="10" s="1"/>
  <c r="I20" i="10"/>
  <c r="J20" i="10" s="1"/>
  <c r="I21" i="10"/>
  <c r="J21" i="10"/>
  <c r="I2" i="10"/>
  <c r="J2" i="10" s="1"/>
  <c r="B10" i="12"/>
  <c r="A10" i="12" a="1"/>
  <c r="A10" i="12" s="1"/>
  <c r="B6" i="12"/>
  <c r="A6" i="12"/>
  <c r="A7" i="12" s="1"/>
  <c r="A3" i="12"/>
  <c r="U2" i="8"/>
  <c r="N2" i="10"/>
  <c r="T3" i="8"/>
  <c r="U3" i="8" s="1"/>
  <c r="T4" i="8"/>
  <c r="U4" i="8"/>
  <c r="V4" i="8" s="1"/>
  <c r="T5" i="8"/>
  <c r="V5" i="8" s="1"/>
  <c r="U5" i="8"/>
  <c r="T6" i="8"/>
  <c r="U6" i="8" s="1"/>
  <c r="V6" i="8" s="1"/>
  <c r="T7" i="8"/>
  <c r="U7" i="8"/>
  <c r="V7" i="8" s="1"/>
  <c r="T8" i="8"/>
  <c r="U8" i="8" s="1"/>
  <c r="T9" i="8"/>
  <c r="U9" i="8"/>
  <c r="V9" i="8"/>
  <c r="T10" i="8"/>
  <c r="U10" i="8" s="1"/>
  <c r="V10" i="8" s="1"/>
  <c r="T11" i="8"/>
  <c r="U11" i="8" s="1"/>
  <c r="T12" i="8"/>
  <c r="U12" i="8"/>
  <c r="V12" i="8"/>
  <c r="T13" i="8"/>
  <c r="U13" i="8"/>
  <c r="V13" i="8" s="1"/>
  <c r="T14" i="8"/>
  <c r="U14" i="8" s="1"/>
  <c r="V14" i="8" s="1"/>
  <c r="T15" i="8"/>
  <c r="U15" i="8"/>
  <c r="V15" i="8" s="1"/>
  <c r="T16" i="8"/>
  <c r="U16" i="8" s="1"/>
  <c r="T17" i="8"/>
  <c r="U17" i="8"/>
  <c r="V17" i="8"/>
  <c r="T18" i="8"/>
  <c r="U18" i="8" s="1"/>
  <c r="V18" i="8" s="1"/>
  <c r="T19" i="8"/>
  <c r="U19" i="8" s="1"/>
  <c r="T20" i="8"/>
  <c r="U20" i="8"/>
  <c r="V20" i="8"/>
  <c r="T21" i="8"/>
  <c r="U21" i="8"/>
  <c r="V21" i="8" s="1"/>
  <c r="V2" i="8"/>
  <c r="T2" i="8"/>
  <c r="O3" i="8"/>
  <c r="O4" i="8"/>
  <c r="O5" i="8"/>
  <c r="O6" i="8"/>
  <c r="O7" i="8"/>
  <c r="O8" i="8"/>
  <c r="O9" i="8"/>
  <c r="O10" i="8"/>
  <c r="O11" i="8"/>
  <c r="O12" i="8"/>
  <c r="O13" i="8"/>
  <c r="O14" i="8"/>
  <c r="O15" i="8"/>
  <c r="O16" i="8"/>
  <c r="O17" i="8"/>
  <c r="O18" i="8"/>
  <c r="O19" i="8"/>
  <c r="O20" i="8"/>
  <c r="O21" i="8"/>
  <c r="O2" i="8"/>
  <c r="J2" i="8"/>
  <c r="J2" i="9"/>
  <c r="J3" i="8"/>
  <c r="J4" i="8"/>
  <c r="J5" i="8"/>
  <c r="J6" i="8"/>
  <c r="J7" i="8"/>
  <c r="J8" i="8"/>
  <c r="J9" i="8"/>
  <c r="J10" i="8"/>
  <c r="J11" i="8"/>
  <c r="J12" i="8"/>
  <c r="J13" i="8"/>
  <c r="J14" i="8"/>
  <c r="J15" i="8"/>
  <c r="J16" i="8"/>
  <c r="J17" i="8"/>
  <c r="J18" i="8"/>
  <c r="J19" i="8"/>
  <c r="J20" i="8"/>
  <c r="J21" i="8"/>
  <c r="Q3" i="8"/>
  <c r="R3" i="8"/>
  <c r="S3" i="8"/>
  <c r="Q4" i="8"/>
  <c r="R4" i="8"/>
  <c r="S4" i="8"/>
  <c r="Q5" i="8"/>
  <c r="R5" i="8"/>
  <c r="S5" i="8"/>
  <c r="Q6" i="8"/>
  <c r="R6" i="8"/>
  <c r="S6" i="8"/>
  <c r="Q7" i="8"/>
  <c r="R7" i="8"/>
  <c r="S7" i="8" s="1"/>
  <c r="Q8" i="8"/>
  <c r="R8" i="8"/>
  <c r="S8" i="8"/>
  <c r="Q9" i="8"/>
  <c r="Q10" i="8"/>
  <c r="Q11" i="8"/>
  <c r="Q12" i="8"/>
  <c r="Q13" i="8"/>
  <c r="Q14" i="8"/>
  <c r="Q15" i="8"/>
  <c r="Q16" i="8"/>
  <c r="R16" i="8"/>
  <c r="S16" i="8"/>
  <c r="Q17" i="8"/>
  <c r="R17" i="8"/>
  <c r="S17" i="8"/>
  <c r="Q18" i="8"/>
  <c r="R18" i="8"/>
  <c r="S18" i="8"/>
  <c r="Q19" i="8"/>
  <c r="R19" i="8"/>
  <c r="S19" i="8"/>
  <c r="Q20" i="8"/>
  <c r="R20" i="8"/>
  <c r="S20" i="8"/>
  <c r="Q21" i="8"/>
  <c r="R21" i="8"/>
  <c r="S21" i="8"/>
  <c r="S2" i="8"/>
  <c r="Q2" i="8"/>
  <c r="L2" i="11"/>
  <c r="J2" i="11"/>
  <c r="K2" i="11" s="1"/>
  <c r="J3" i="11"/>
  <c r="J4" i="11"/>
  <c r="J5" i="11"/>
  <c r="K5" i="11" s="1"/>
  <c r="L5" i="11" s="1"/>
  <c r="J6" i="11"/>
  <c r="J7" i="11"/>
  <c r="L7" i="11" s="1"/>
  <c r="J8" i="11"/>
  <c r="J9" i="11"/>
  <c r="J10" i="11"/>
  <c r="J11" i="11"/>
  <c r="K11" i="11" s="1"/>
  <c r="L11" i="11" s="1"/>
  <c r="J12" i="11"/>
  <c r="J13" i="11"/>
  <c r="L13" i="11" s="1"/>
  <c r="J14" i="11"/>
  <c r="J15" i="11"/>
  <c r="J16" i="11"/>
  <c r="J17" i="11"/>
  <c r="K17" i="11" s="1"/>
  <c r="L17" i="11" s="1"/>
  <c r="J18" i="11"/>
  <c r="J19" i="11"/>
  <c r="L19" i="11" s="1"/>
  <c r="J20" i="11"/>
  <c r="J21" i="11"/>
  <c r="K3" i="11"/>
  <c r="L3" i="11" s="1"/>
  <c r="K4" i="11"/>
  <c r="L4" i="11" s="1"/>
  <c r="K6" i="11"/>
  <c r="L6" i="11"/>
  <c r="K7" i="11"/>
  <c r="K9" i="11"/>
  <c r="L9" i="11"/>
  <c r="K10" i="11"/>
  <c r="L10" i="11" s="1"/>
  <c r="K12" i="11"/>
  <c r="L12" i="11"/>
  <c r="K13" i="11"/>
  <c r="K15" i="11"/>
  <c r="L15" i="11"/>
  <c r="K16" i="11"/>
  <c r="L16" i="11" s="1"/>
  <c r="K18" i="11"/>
  <c r="L18" i="11"/>
  <c r="K19" i="11"/>
  <c r="K21" i="11"/>
  <c r="L21" i="11"/>
  <c r="N3" i="10"/>
  <c r="N4" i="10"/>
  <c r="N5" i="10"/>
  <c r="N6" i="10"/>
  <c r="N7" i="10"/>
  <c r="N8" i="10"/>
  <c r="N9" i="10"/>
  <c r="N10" i="10"/>
  <c r="N11" i="10"/>
  <c r="N12" i="10"/>
  <c r="N13" i="10"/>
  <c r="N14" i="10"/>
  <c r="N15" i="10"/>
  <c r="N16" i="10"/>
  <c r="N17" i="10"/>
  <c r="N18" i="10"/>
  <c r="N19" i="10"/>
  <c r="N20" i="10"/>
  <c r="N21" i="10"/>
  <c r="M3" i="10"/>
  <c r="M4" i="10"/>
  <c r="M5" i="10"/>
  <c r="M6" i="10"/>
  <c r="M7" i="10"/>
  <c r="M8" i="10"/>
  <c r="M9" i="10"/>
  <c r="M10" i="10"/>
  <c r="M11" i="10"/>
  <c r="M12" i="10"/>
  <c r="M13" i="10"/>
  <c r="M14" i="10"/>
  <c r="M15" i="10"/>
  <c r="M16" i="10"/>
  <c r="M17" i="10"/>
  <c r="M18" i="10"/>
  <c r="M19" i="10"/>
  <c r="M20" i="10"/>
  <c r="M21" i="10"/>
  <c r="J3" i="9"/>
  <c r="J4" i="9"/>
  <c r="J5" i="9"/>
  <c r="J6" i="9"/>
  <c r="J7" i="9"/>
  <c r="J8" i="9"/>
  <c r="J9" i="9"/>
  <c r="J10" i="9"/>
  <c r="J11" i="9"/>
  <c r="J12" i="9"/>
  <c r="J13" i="9"/>
  <c r="J14" i="9"/>
  <c r="J15" i="9"/>
  <c r="J16" i="9"/>
  <c r="J17" i="9"/>
  <c r="J18" i="9"/>
  <c r="J19" i="9"/>
  <c r="J20" i="9"/>
  <c r="J21" i="9"/>
  <c r="B7" i="12" l="1"/>
  <c r="C6" i="12"/>
  <c r="C7" i="12" s="1"/>
  <c r="V19" i="8"/>
  <c r="V11" i="8"/>
  <c r="V3" i="8"/>
  <c r="V16" i="8"/>
  <c r="V8" i="8"/>
  <c r="R9" i="8"/>
  <c r="S9" i="8" s="1"/>
  <c r="R10" i="8"/>
  <c r="S10" i="8"/>
  <c r="R11" i="8"/>
  <c r="S11" i="8"/>
  <c r="R12" i="8"/>
  <c r="S12" i="8"/>
  <c r="R13" i="8"/>
  <c r="S13" i="8"/>
  <c r="R14" i="8"/>
  <c r="S14" i="8"/>
  <c r="R15" i="8"/>
  <c r="S15" i="8"/>
  <c r="R2" i="8"/>
  <c r="K20" i="11"/>
  <c r="L20" i="11" s="1"/>
  <c r="K14" i="11"/>
  <c r="L14" i="11" s="1"/>
  <c r="K8" i="11"/>
  <c r="L8" i="11" s="1"/>
  <c r="D6" i="12" l="1"/>
  <c r="D7" i="12" s="1"/>
  <c r="E6" i="12" l="1"/>
  <c r="E7" i="12" s="1"/>
  <c r="F6" i="12" l="1"/>
  <c r="G6" i="12" s="1"/>
  <c r="G7" i="12" l="1"/>
  <c r="H6" i="12"/>
  <c r="F7" i="12"/>
  <c r="I6" i="12" l="1"/>
  <c r="I7" i="12" s="1"/>
  <c r="H7" i="12"/>
  <c r="J6" i="12" l="1"/>
  <c r="J7" i="12" s="1"/>
  <c r="K6" i="12" l="1"/>
  <c r="K7" i="12" s="1"/>
  <c r="L6" i="12" l="1"/>
  <c r="L7" i="12" s="1"/>
  <c r="M6" i="12" l="1"/>
  <c r="M7" i="12" s="1"/>
  <c r="N6" i="12" l="1"/>
  <c r="N7" i="12" s="1"/>
  <c r="O6" i="12" l="1"/>
  <c r="O7" i="12" s="1"/>
  <c r="P6" i="12" l="1"/>
  <c r="Q6" i="12" l="1"/>
  <c r="P7" i="12"/>
  <c r="R6" i="12" l="1"/>
  <c r="R7" i="12" s="1"/>
  <c r="Q7" i="12"/>
  <c r="S6" i="12" l="1"/>
  <c r="S7" i="12"/>
  <c r="T6" i="12" l="1"/>
  <c r="U6" i="12" l="1"/>
  <c r="U7" i="12" s="1"/>
  <c r="T7" i="12"/>
  <c r="V6" i="12" l="1"/>
  <c r="V7" i="12" s="1"/>
  <c r="W6" i="12" l="1"/>
  <c r="X6" i="12" l="1"/>
  <c r="X7" i="12" s="1"/>
  <c r="W7" i="12"/>
  <c r="Y6" i="12" l="1"/>
  <c r="Z6" i="12" l="1"/>
  <c r="Z7" i="12" s="1"/>
  <c r="Y7" i="12"/>
  <c r="AA6" i="12" l="1"/>
  <c r="AA7" i="12" s="1"/>
  <c r="AB6" i="12" l="1"/>
  <c r="AB7" i="12" s="1"/>
  <c r="AC6" i="12" l="1"/>
  <c r="AC7" i="12" s="1"/>
  <c r="AD6" i="12" l="1"/>
  <c r="AD7" i="12" s="1"/>
  <c r="AE6" i="12" l="1"/>
  <c r="AF6" i="12" l="1"/>
  <c r="AF7" i="12" s="1"/>
  <c r="AE7" i="12"/>
  <c r="AG6" i="12" l="1"/>
  <c r="AG7" i="12" s="1"/>
  <c r="AH6" i="12" l="1"/>
  <c r="AH7" i="12" s="1"/>
  <c r="AI6" i="12" l="1"/>
  <c r="AI7" i="12" s="1"/>
  <c r="AJ6" i="12" l="1"/>
  <c r="AJ7" i="12" s="1"/>
  <c r="AK6" i="12" l="1"/>
  <c r="AL6" i="12" l="1"/>
  <c r="AL7" i="12" s="1"/>
  <c r="AK7" i="12"/>
  <c r="AM6" i="12" l="1"/>
  <c r="AN6" i="12" l="1"/>
  <c r="AN7" i="12" s="1"/>
  <c r="AM7" i="12"/>
  <c r="AO6" i="12" l="1"/>
  <c r="AO7" i="12" s="1"/>
  <c r="AP6" i="12" l="1"/>
  <c r="AP7" i="12" s="1"/>
  <c r="AQ6" i="12" l="1"/>
  <c r="AQ7" i="12" s="1"/>
  <c r="AR6" i="12" l="1"/>
  <c r="AR7" i="12" s="1"/>
  <c r="AS6" i="12" l="1"/>
  <c r="AS7" i="12" s="1"/>
  <c r="AT6" i="12" l="1"/>
  <c r="AT7" i="12" s="1"/>
  <c r="AU6" i="12" l="1"/>
  <c r="AU7" i="12"/>
  <c r="AV6" i="12" l="1"/>
  <c r="AV7" i="12" s="1"/>
  <c r="AW6" i="12" l="1"/>
  <c r="AX6" i="12" l="1"/>
  <c r="AX7" i="12" s="1"/>
  <c r="AW7" i="12"/>
  <c r="AY6" i="12" l="1"/>
  <c r="AZ6" i="12" l="1"/>
  <c r="AZ7" i="12" s="1"/>
  <c r="AY7" i="12"/>
  <c r="BA6" i="12" l="1"/>
  <c r="BA7" i="12"/>
  <c r="BB6" i="12" l="1"/>
  <c r="BB7" i="12"/>
  <c r="BC6" i="12" l="1"/>
  <c r="BD6" i="12" l="1"/>
  <c r="BD7" i="12" s="1"/>
  <c r="BC7" i="12"/>
  <c r="BE6" i="12" l="1"/>
  <c r="BF6" i="12" l="1"/>
  <c r="BF7" i="12" s="1"/>
  <c r="BE7" i="12"/>
  <c r="BG6" i="12" l="1"/>
  <c r="BH6" i="12" l="1"/>
  <c r="BH7" i="12" s="1"/>
  <c r="BG7" i="12"/>
  <c r="BI6" i="12" l="1"/>
  <c r="BI7" i="12" s="1"/>
  <c r="BJ6" i="12" l="1"/>
  <c r="BJ7" i="12" s="1"/>
  <c r="BK6" i="12" l="1"/>
  <c r="BK7" i="12" s="1"/>
  <c r="BL6" i="12" l="1"/>
  <c r="BL7" i="12" s="1"/>
  <c r="BM6" i="12" l="1"/>
  <c r="BM7" i="12" s="1"/>
  <c r="BN6" i="12" l="1"/>
  <c r="BN7" i="12" s="1"/>
  <c r="BO6" i="12" l="1"/>
  <c r="BP6" i="12" l="1"/>
  <c r="BO7" i="12"/>
  <c r="BQ6" i="12" l="1"/>
  <c r="BQ7" i="12" s="1"/>
  <c r="BP7" i="12"/>
  <c r="BR6" i="12" l="1"/>
  <c r="BR7" i="12"/>
  <c r="BS6" i="12" l="1"/>
  <c r="BS7" i="12" s="1"/>
  <c r="BT6" i="12" l="1"/>
  <c r="BU6" i="12" l="1"/>
  <c r="BU7" i="12" s="1"/>
  <c r="BT7" i="12"/>
  <c r="BV6" i="12" l="1"/>
  <c r="BV7" i="12" s="1"/>
  <c r="B26" i="12" l="1"/>
  <c r="B22" i="12"/>
  <c r="B13" i="12"/>
  <c r="B21" i="12"/>
  <c r="B25" i="12"/>
  <c r="B11" i="12"/>
  <c r="B19" i="12"/>
  <c r="B17" i="12"/>
  <c r="B18" i="12"/>
  <c r="B23" i="12"/>
  <c r="B16" i="12"/>
  <c r="B24" i="12"/>
  <c r="B15" i="12"/>
  <c r="B14" i="12"/>
  <c r="B20" i="12"/>
  <c r="B12" i="1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<sst xmlns="http://schemas.openxmlformats.org/spreadsheetml/2006/main" count="609" uniqueCount="95">
  <si>
    <t>Email</t>
  </si>
  <si>
    <t>Data Analyst</t>
  </si>
  <si>
    <t>Full Name</t>
  </si>
  <si>
    <t>Job Position</t>
  </si>
  <si>
    <t>Skills List</t>
  </si>
  <si>
    <t>Business Intelligence Analyst</t>
  </si>
  <si>
    <t>Azure, Java, SQL, DataBricks</t>
  </si>
  <si>
    <t>Data Scientist</t>
  </si>
  <si>
    <t>Snowflake, Power BI, Tableau, Airflow, SQL</t>
  </si>
  <si>
    <t>Machine Learning Engineer</t>
  </si>
  <si>
    <t>DataBricks, Hadoop, Java</t>
  </si>
  <si>
    <t>Kafka, DataBricks, Spark, Python, GCP</t>
  </si>
  <si>
    <t>Data Engineer</t>
  </si>
  <si>
    <t>Snowflake, Excel, Scala</t>
  </si>
  <si>
    <t>Power BI, GCP, Airflow, Hadoop, R</t>
  </si>
  <si>
    <t>Snowflake, Airflow, DataBricks</t>
  </si>
  <si>
    <t>Scala, R, Hadoop, Power BI, SQL</t>
  </si>
  <si>
    <t>Excel, Power BI, R</t>
  </si>
  <si>
    <t>Scala, Azure, R, Kafka</t>
  </si>
  <si>
    <t>Java, Scala, R</t>
  </si>
  <si>
    <t>DataBricks, Azure, Scala</t>
  </si>
  <si>
    <t>Street</t>
  </si>
  <si>
    <t>City State Zip</t>
  </si>
  <si>
    <t>457 Oak St</t>
  </si>
  <si>
    <t>San Jose, CA, 95101</t>
  </si>
  <si>
    <t>203 Birch St</t>
  </si>
  <si>
    <t>Chicago, IL, 60601</t>
  </si>
  <si>
    <t>790 Pine St</t>
  </si>
  <si>
    <t>456 Oak St</t>
  </si>
  <si>
    <t>459 Oak St</t>
  </si>
  <si>
    <t>Philadelphia, PA, 19101</t>
  </si>
  <si>
    <t>204 Birch St</t>
  </si>
  <si>
    <t>Los Angeles, CA, 90001</t>
  </si>
  <si>
    <t>123 Elm St</t>
  </si>
  <si>
    <t>San Diego, CA, 92101</t>
  </si>
  <si>
    <t>202 Birch St</t>
  </si>
  <si>
    <t>New York, NY, 10001</t>
  </si>
  <si>
    <t>Chicago, IL, 60602</t>
  </si>
  <si>
    <t>Michael Scott</t>
  </si>
  <si>
    <t>michael.scott@gmail.com</t>
  </si>
  <si>
    <t>Jim Halpert</t>
  </si>
  <si>
    <t>jim.halpert@hotmail.com</t>
  </si>
  <si>
    <t>Pam Beesly</t>
  </si>
  <si>
    <t>pam.beesly@outlook.com</t>
  </si>
  <si>
    <t>Dwight Schrute</t>
  </si>
  <si>
    <t>dwight.schrute@gmail.com</t>
  </si>
  <si>
    <t>Ryan Howard</t>
  </si>
  <si>
    <t>ryan.howard@aol.com</t>
  </si>
  <si>
    <t>Kelly Kapoor</t>
  </si>
  <si>
    <t>kelly.kapoor@gmail.com</t>
  </si>
  <si>
    <t>Stanley Hudson</t>
  </si>
  <si>
    <t>stanley.hudson@gmail.com</t>
  </si>
  <si>
    <t>Phyllis Vance</t>
  </si>
  <si>
    <t>phyllis.vance@gmail.com</t>
  </si>
  <si>
    <t>Angela Martin</t>
  </si>
  <si>
    <t>angela.martin@ymail.com</t>
  </si>
  <si>
    <t>Oscar Martinez</t>
  </si>
  <si>
    <t>oscar.martinez@outlook.com</t>
  </si>
  <si>
    <t>Kevin Malone</t>
  </si>
  <si>
    <t>kevin.malone@aol.com</t>
  </si>
  <si>
    <t>Meredith Palmer</t>
  </si>
  <si>
    <t>meredith.palmer@outlook.com</t>
  </si>
  <si>
    <t>Full Address</t>
  </si>
  <si>
    <t>Unique Jobs</t>
  </si>
  <si>
    <t>Find and MID (State)</t>
  </si>
  <si>
    <t>First Name</t>
  </si>
  <si>
    <t>Last Name</t>
  </si>
  <si>
    <t>=TEXTSPLIT(A3, ", ")</t>
  </si>
  <si>
    <t>=UNIQUE(TRANSPOSE(6:6))</t>
  </si>
  <si>
    <t>Applicant ID</t>
  </si>
  <si>
    <t>Check Applicant ID</t>
  </si>
  <si>
    <t>AID0123549</t>
  </si>
  <si>
    <t>AID0123548</t>
  </si>
  <si>
    <t>AID0123550</t>
  </si>
  <si>
    <t>AID0123551</t>
  </si>
  <si>
    <t>AID0123552</t>
  </si>
  <si>
    <t>AID0123553</t>
  </si>
  <si>
    <t>AID0123554</t>
  </si>
  <si>
    <t>AID0123555</t>
  </si>
  <si>
    <t>AID0123556</t>
  </si>
  <si>
    <t>AID0123557</t>
  </si>
  <si>
    <t>AID0123558</t>
  </si>
  <si>
    <t>AID0123559</t>
  </si>
  <si>
    <t>AID0123560</t>
  </si>
  <si>
    <t>AID0123561</t>
  </si>
  <si>
    <t>AID0123562</t>
  </si>
  <si>
    <t>AID0123563</t>
  </si>
  <si>
    <t>AID0123564</t>
  </si>
  <si>
    <t>AID0123565</t>
  </si>
  <si>
    <t>AID0123566</t>
  </si>
  <si>
    <t>AID0123567</t>
  </si>
  <si>
    <t>Applicant ID (Short)</t>
  </si>
  <si>
    <t>Application Date &amp; Time</t>
  </si>
  <si>
    <t>=COUNTIF($6:$6,A9)</t>
  </si>
  <si>
    <t>=TEXTJOIN(", ", TRUE, Data!H2:H21)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</si>
</sst>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8">
    <xf numFmtId="0" fontId="0" fillId="0" borderId="0" xfId="0"/>
    <xf numFmtId="0" fontId="0" fillId="0" borderId="1" xfId="0" applyBorder="1"/>
    <xf numFmtId="0" fontId="1" fillId="2" borderId="2" xfId="0" applyFont="1" applyFill="1" applyBorder="1"/>
    <xf numFmtId="0" fontId="1" fillId="2" borderId="3" xfId="0" applyFont="1" applyFill="1" applyBorder="1"/>
    <xf numFmtId="0" fontId="1" fillId="2" borderId="4" xfId="0" applyFont="1" applyFill="1" applyBorder="1"/>
    <xf numFmtId="0" fontId="0" fillId="0" borderId="5" xfId="0" applyBorder="1"/>
    <xf numFmtId="0" fontId="0" fillId="0" borderId="6" xfId="0" applyBorder="1"/>
    <xf numFmtId="0" fontId="0" fillId="0" borderId="7" xfId="0" applyBorder="1"/>
    <xf numFmtId="0" fontId="0" fillId="0" borderId="8" xfId="0" applyBorder="1"/>
    <xf numFmtId="14" fontId="0" fillId="0" borderId="0" xfId="0" applyNumberFormat="1"/>
    <xf numFmtId="14" fontId="1" fillId="2" borderId="3" xfId="0" applyNumberFormat="1" applyFont="1" applyFill="1" applyBorder="1"/>
    <xf numFmtId="164" fontId="0" fillId="0" borderId="1" xfId="0" applyNumberFormat="1" applyBorder="1"/>
    <xf numFmtId="164" fontId="0" fillId="0" borderId="7" xfId="0" applyNumberFormat="1" applyBorder="1"/>
    <xf numFmtId="0" fontId="1" fillId="0" borderId="0" xfId="0" applyFont="1"/>
    <xf numFmtId="0" fontId="1" fillId="2" borderId="0" xfId="0" applyFont="1" applyFill="1"/>
    <xf numFmtId="0" fontId="1" fillId="2" borderId="0" xfId="0" quotePrefix="1" applyFont="1" applyFill="1"/>
    <xf numFmtId="0" fontId="0" fillId="2" borderId="0" xfId="0" applyFill="1"/>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Skill Count of Applicants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Skills!$A$10:$A$25</c:f>
              <c:strCache>
                <c:ptCount val="16"/>
                <c:pt idx="0">
                  <c:v>Kafka</c:v>
                </c:pt>
                <c:pt idx="1">
                  <c:v>DataBricks</c:v>
                </c:pt>
                <c:pt idx="2">
                  <c:v>Spark</c:v>
                </c:pt>
                <c:pt idx="3">
                  <c:v>Python</c:v>
                </c:pt>
                <c:pt idx="4">
                  <c:v>GCP</c:v>
                </c:pt>
                <c:pt idx="5">
                  <c:v>Power BI</c:v>
                </c:pt>
                <c:pt idx="6">
                  <c:v>Airflow</c:v>
                </c:pt>
                <c:pt idx="7">
                  <c:v>Hadoop</c:v>
                </c:pt>
                <c:pt idx="8">
                  <c:v>R</c:v>
                </c:pt>
                <c:pt idx="9">
                  <c:v>Azure</c:v>
                </c:pt>
                <c:pt idx="10">
                  <c:v>Java</c:v>
                </c:pt>
                <c:pt idx="11">
                  <c:v>SQL</c:v>
                </c:pt>
                <c:pt idx="12">
                  <c:v>Snowflake</c:v>
                </c:pt>
                <c:pt idx="13">
                  <c:v>Scala</c:v>
                </c:pt>
                <c:pt idx="14">
                  <c:v>Excel</c:v>
                </c:pt>
                <c:pt idx="15">
                  <c:v>Tableau</c:v>
                </c:pt>
              </c:strCache>
            </c:strRef>
          </c:cat>
          <c:val>
            <c:numRef>
              <c:f>Skills!$B$10:$B$25</c:f>
              <c:numCache>
                <c:formatCode>General</c:formatCode>
                <c:ptCount val="16"/>
                <c:pt idx="0">
                  <c:v>3</c:v>
                </c:pt>
                <c:pt idx="1">
                  <c:v>12</c:v>
                </c:pt>
                <c:pt idx="2">
                  <c:v>2</c:v>
                </c:pt>
                <c:pt idx="3">
                  <c:v>2</c:v>
                </c:pt>
                <c:pt idx="4">
                  <c:v>4</c:v>
                </c:pt>
                <c:pt idx="5">
                  <c:v>5</c:v>
                </c:pt>
                <c:pt idx="6">
                  <c:v>6</c:v>
                </c:pt>
                <c:pt idx="7">
                  <c:v>7</c:v>
                </c:pt>
                <c:pt idx="8">
                  <c:v>6</c:v>
                </c:pt>
                <c:pt idx="9">
                  <c:v>4</c:v>
                </c:pt>
                <c:pt idx="10">
                  <c:v>6</c:v>
                </c:pt>
                <c:pt idx="11">
                  <c:v>4</c:v>
                </c:pt>
                <c:pt idx="12">
                  <c:v>5</c:v>
                </c:pt>
                <c:pt idx="13">
                  <c:v>5</c:v>
                </c:pt>
                <c:pt idx="14">
                  <c:v>2</c:v>
                </c:pt>
                <c:pt idx="15">
                  <c:v>1</c:v>
                </c:pt>
              </c:numCache>
            </c:numRef>
          </c:val>
          <c:extLst>
            <c:ext xmlns:c16="http://schemas.microsoft.com/office/drawing/2014/chart" uri="{C3380CC4-5D6E-409C-BE32-E72D297353CC}">
              <c16:uniqueId val="{00000000-F30C-45CA-B8A0-F5AF8B1DA29B}"/>
            </c:ext>
          </c:extLst>
        </c:ser>
        <c:dLbls>
          <c:showLegendKey val="0"/>
          <c:showVal val="0"/>
          <c:showCatName val="0"/>
          <c:showSerName val="0"/>
          <c:showPercent val="0"/>
          <c:showBubbleSize val="0"/>
        </c:dLbls>
        <c:gapWidth val="182"/>
        <c:axId val="1389519888"/>
        <c:axId val="1389514128"/>
      </c:barChart>
      <c:catAx>
        <c:axId val="1389519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514128"/>
        <c:crosses val="autoZero"/>
        <c:auto val="1"/>
        <c:lblAlgn val="ctr"/>
        <c:lblOffset val="100"/>
        <c:noMultiLvlLbl val="0"/>
      </c:catAx>
      <c:valAx>
        <c:axId val="1389514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519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588963</xdr:colOff>
      <xdr:row>9</xdr:row>
      <xdr:rowOff>44450</xdr:rowOff>
    </xdr:from>
    <xdr:to>
      <xdr:col>10</xdr:col>
      <xdr:colOff>30163</xdr:colOff>
      <xdr:row>27</xdr:row>
      <xdr:rowOff>117475</xdr:rowOff>
    </xdr:to>
    <xdr:graphicFrame macro="">
      <xdr:nvGraphicFramePr>
        <xdr:cNvPr id="3" name="Chart 2">
          <a:extLst>
            <a:ext uri="{FF2B5EF4-FFF2-40B4-BE49-F238E27FC236}">
              <a16:creationId xmlns:a16="http://schemas.microsoft.com/office/drawing/2014/main" id="{A8C6A45A-EB32-62D3-58CF-3F02DAF72B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7F13-C613-4452-9CDB-2C26D6876D9D}">
  <dimension ref="A1:V21"/>
  <sheetViews>
    <sheetView zoomScale="110" zoomScaleNormal="110" workbookViewId="0">
      <selection activeCell="H21" sqref="H21"/>
    </sheetView>
  </sheetViews>
  <sheetFormatPr baseColWidth="10" defaultColWidth="8.88671875" defaultRowHeight="14.4" x14ac:dyDescent="0.3"/>
  <cols>
    <col min="1" max="1" width="17.5546875" customWidth="1"/>
    <col min="2" max="2" width="14.21875" customWidth="1"/>
    <col min="3" max="3" width="27.21875" customWidth="1"/>
    <col min="4" max="4" width="17.5546875" style="9" customWidth="1"/>
    <col min="5" max="5" width="26.21875" customWidth="1"/>
    <col min="6" max="6" width="11" customWidth="1"/>
    <col min="7" max="7" width="22" customWidth="1"/>
    <col min="8" max="8" width="40" customWidth="1"/>
    <col min="9" max="9" width="8.88671875" customWidth="1"/>
    <col min="10" max="10" width="34.77734375" customWidth="1"/>
    <col min="11" max="11" width="8.88671875" customWidth="1"/>
    <col min="12" max="12" width="13.33203125" customWidth="1"/>
    <col min="13" max="13" width="15.44140625" customWidth="1"/>
    <col min="14" max="14" width="8.88671875" customWidth="1"/>
    <col min="15" max="15" width="16.44140625" customWidth="1"/>
    <col min="17" max="19" width="0" hidden="1" customWidth="1"/>
  </cols>
  <sheetData>
    <row r="1" spans="1:22" x14ac:dyDescent="0.3">
      <c r="A1" s="2" t="s">
        <v>69</v>
      </c>
      <c r="B1" s="3" t="s">
        <v>2</v>
      </c>
      <c r="C1" s="3" t="s">
        <v>3</v>
      </c>
      <c r="D1" s="10" t="s">
        <v>92</v>
      </c>
      <c r="E1" s="3" t="s">
        <v>0</v>
      </c>
      <c r="F1" s="3" t="s">
        <v>21</v>
      </c>
      <c r="G1" s="3" t="s">
        <v>22</v>
      </c>
      <c r="H1" s="4" t="s">
        <v>4</v>
      </c>
      <c r="J1" s="14" t="s">
        <v>62</v>
      </c>
      <c r="L1" s="14" t="s">
        <v>65</v>
      </c>
      <c r="M1" s="14" t="s">
        <v>66</v>
      </c>
      <c r="O1" s="14" t="s">
        <v>91</v>
      </c>
      <c r="Q1" s="17" t="s">
        <v>64</v>
      </c>
      <c r="R1" s="17"/>
      <c r="S1" s="17"/>
      <c r="T1" s="17" t="s">
        <v>64</v>
      </c>
      <c r="U1" s="17"/>
      <c r="V1" s="17"/>
    </row>
    <row r="2" spans="1:22" x14ac:dyDescent="0.3">
      <c r="A2" s="5" t="s">
        <v>72</v>
      </c>
      <c r="B2" s="1" t="s">
        <v>42</v>
      </c>
      <c r="C2" s="1" t="s">
        <v>1</v>
      </c>
      <c r="D2" s="11">
        <v>44971.640451388892</v>
      </c>
      <c r="E2" s="1" t="s">
        <v>43</v>
      </c>
      <c r="F2" s="1" t="s">
        <v>23</v>
      </c>
      <c r="G2" s="1" t="s">
        <v>24</v>
      </c>
      <c r="H2" s="6" t="s">
        <v>11</v>
      </c>
      <c r="J2" t="str">
        <f>_xlfn.TEXTJOIN(" ",TRUE,F2:G2)</f>
        <v>457 Oak St San Jose, CA, 95101</v>
      </c>
      <c r="O2" t="str">
        <f>RIGHT(A2,7)</f>
        <v>0123548</v>
      </c>
      <c r="Q2">
        <f>FIND(",", G2)+LEN(", ")</f>
        <v>11</v>
      </c>
      <c r="R2">
        <f>FIND(",",G2,Q2)</f>
        <v>13</v>
      </c>
      <c r="S2" t="str">
        <f>MID(G2,Q2,R2-Q2)</f>
        <v>CA</v>
      </c>
      <c r="T2">
        <f>FIND(",",G2)+LEN(", ")</f>
        <v>11</v>
      </c>
      <c r="U2">
        <f>FIND(",",G2,T2)</f>
        <v>13</v>
      </c>
      <c r="V2" t="str">
        <f>MID(G2,T2,U2-T2)</f>
        <v>CA</v>
      </c>
    </row>
    <row r="3" spans="1:22" x14ac:dyDescent="0.3">
      <c r="A3" s="5" t="s">
        <v>71</v>
      </c>
      <c r="B3" s="1" t="s">
        <v>38</v>
      </c>
      <c r="C3" s="1" t="s">
        <v>5</v>
      </c>
      <c r="D3" s="11">
        <v>45055.40662037037</v>
      </c>
      <c r="E3" s="1" t="s">
        <v>39</v>
      </c>
      <c r="F3" s="1" t="s">
        <v>25</v>
      </c>
      <c r="G3" s="1" t="s">
        <v>26</v>
      </c>
      <c r="H3" s="6" t="s">
        <v>14</v>
      </c>
      <c r="J3" t="str">
        <f t="shared" ref="J3:J21" si="0">_xlfn.TEXTJOIN(" ",TRUE,F3:G3)</f>
        <v>203 Birch St Chicago, IL, 60601</v>
      </c>
      <c r="O3" t="str">
        <f t="shared" ref="O3:O21" si="1">RIGHT(A3,7)</f>
        <v>0123549</v>
      </c>
      <c r="Q3">
        <f t="shared" ref="Q3:Q21" si="2">FIND(",", G3)+LEN(", ")</f>
        <v>10</v>
      </c>
      <c r="R3">
        <f t="shared" ref="R3:R21" si="3">FIND(",",G3,Q3)</f>
        <v>12</v>
      </c>
      <c r="S3" t="str">
        <f t="shared" ref="S3:S21" si="4">MID(G3,Q3,R3-Q3)</f>
        <v>IL</v>
      </c>
      <c r="T3">
        <f t="shared" ref="T3:T21" si="5">FIND(",",G3)+LEN(", ")</f>
        <v>10</v>
      </c>
      <c r="U3">
        <f t="shared" ref="U3:U21" si="6">FIND(",",G3,T3)</f>
        <v>12</v>
      </c>
      <c r="V3" t="str">
        <f t="shared" ref="V3:V21" si="7">MID(G3,T3,U3-T3)</f>
        <v>IL</v>
      </c>
    </row>
    <row r="4" spans="1:22" x14ac:dyDescent="0.3">
      <c r="A4" s="5" t="s">
        <v>73</v>
      </c>
      <c r="B4" s="1" t="s">
        <v>58</v>
      </c>
      <c r="C4" s="1" t="s">
        <v>12</v>
      </c>
      <c r="D4" s="11">
        <v>45128.729710648149</v>
      </c>
      <c r="E4" s="1" t="s">
        <v>59</v>
      </c>
      <c r="F4" s="1" t="s">
        <v>27</v>
      </c>
      <c r="G4" s="1" t="s">
        <v>26</v>
      </c>
      <c r="H4" s="6" t="s">
        <v>6</v>
      </c>
      <c r="J4" t="str">
        <f t="shared" si="0"/>
        <v>790 Pine St Chicago, IL, 60601</v>
      </c>
      <c r="O4" t="str">
        <f t="shared" si="1"/>
        <v>0123550</v>
      </c>
      <c r="Q4">
        <f t="shared" si="2"/>
        <v>10</v>
      </c>
      <c r="R4">
        <f t="shared" si="3"/>
        <v>12</v>
      </c>
      <c r="S4" t="str">
        <f t="shared" si="4"/>
        <v>IL</v>
      </c>
      <c r="T4">
        <f t="shared" si="5"/>
        <v>10</v>
      </c>
      <c r="U4">
        <f t="shared" si="6"/>
        <v>12</v>
      </c>
      <c r="V4" t="str">
        <f t="shared" si="7"/>
        <v>IL</v>
      </c>
    </row>
    <row r="5" spans="1:22" x14ac:dyDescent="0.3">
      <c r="A5" s="5" t="s">
        <v>74</v>
      </c>
      <c r="B5" s="1" t="s">
        <v>42</v>
      </c>
      <c r="C5" s="1" t="s">
        <v>5</v>
      </c>
      <c r="D5" s="11">
        <v>45173.302187499998</v>
      </c>
      <c r="E5" s="1" t="s">
        <v>43</v>
      </c>
      <c r="F5" s="1" t="s">
        <v>23</v>
      </c>
      <c r="G5" s="1" t="s">
        <v>24</v>
      </c>
      <c r="H5" s="6" t="s">
        <v>11</v>
      </c>
      <c r="J5" t="str">
        <f t="shared" si="0"/>
        <v>457 Oak St San Jose, CA, 95101</v>
      </c>
      <c r="O5" t="str">
        <f t="shared" si="1"/>
        <v>0123551</v>
      </c>
      <c r="Q5">
        <f t="shared" si="2"/>
        <v>11</v>
      </c>
      <c r="R5">
        <f t="shared" si="3"/>
        <v>13</v>
      </c>
      <c r="S5" t="str">
        <f t="shared" si="4"/>
        <v>CA</v>
      </c>
      <c r="T5">
        <f t="shared" si="5"/>
        <v>11</v>
      </c>
      <c r="U5">
        <f t="shared" si="6"/>
        <v>13</v>
      </c>
      <c r="V5" t="str">
        <f t="shared" si="7"/>
        <v>CA</v>
      </c>
    </row>
    <row r="6" spans="1:22" x14ac:dyDescent="0.3">
      <c r="A6" s="5" t="s">
        <v>75</v>
      </c>
      <c r="B6" s="1" t="s">
        <v>40</v>
      </c>
      <c r="C6" s="1" t="s">
        <v>7</v>
      </c>
      <c r="D6" s="11">
        <v>45248.70857638889</v>
      </c>
      <c r="E6" s="1" t="s">
        <v>41</v>
      </c>
      <c r="F6" s="1" t="s">
        <v>29</v>
      </c>
      <c r="G6" s="1" t="s">
        <v>30</v>
      </c>
      <c r="H6" s="6" t="s">
        <v>10</v>
      </c>
      <c r="J6" t="str">
        <f t="shared" si="0"/>
        <v>459 Oak St Philadelphia, PA, 19101</v>
      </c>
      <c r="O6" t="str">
        <f t="shared" si="1"/>
        <v>0123552</v>
      </c>
      <c r="Q6">
        <f t="shared" si="2"/>
        <v>15</v>
      </c>
      <c r="R6">
        <f t="shared" si="3"/>
        <v>17</v>
      </c>
      <c r="S6" t="str">
        <f t="shared" si="4"/>
        <v>PA</v>
      </c>
      <c r="T6">
        <f t="shared" si="5"/>
        <v>15</v>
      </c>
      <c r="U6">
        <f t="shared" si="6"/>
        <v>17</v>
      </c>
      <c r="V6" t="str">
        <f t="shared" si="7"/>
        <v>PA</v>
      </c>
    </row>
    <row r="7" spans="1:22" x14ac:dyDescent="0.3">
      <c r="A7" s="5" t="s">
        <v>76</v>
      </c>
      <c r="B7" s="1" t="s">
        <v>46</v>
      </c>
      <c r="C7" s="1" t="s">
        <v>9</v>
      </c>
      <c r="D7" s="11">
        <v>45302.531921296293</v>
      </c>
      <c r="E7" s="1" t="s">
        <v>47</v>
      </c>
      <c r="F7" s="1" t="s">
        <v>31</v>
      </c>
      <c r="G7" s="1" t="s">
        <v>30</v>
      </c>
      <c r="H7" s="6" t="s">
        <v>15</v>
      </c>
      <c r="J7" t="str">
        <f t="shared" si="0"/>
        <v>204 Birch St Philadelphia, PA, 19101</v>
      </c>
      <c r="O7" t="str">
        <f t="shared" si="1"/>
        <v>0123553</v>
      </c>
      <c r="Q7">
        <f t="shared" si="2"/>
        <v>15</v>
      </c>
      <c r="R7">
        <f t="shared" si="3"/>
        <v>17</v>
      </c>
      <c r="S7" t="str">
        <f t="shared" si="4"/>
        <v>PA</v>
      </c>
      <c r="T7">
        <f t="shared" si="5"/>
        <v>15</v>
      </c>
      <c r="U7">
        <f t="shared" si="6"/>
        <v>17</v>
      </c>
      <c r="V7" t="str">
        <f t="shared" si="7"/>
        <v>PA</v>
      </c>
    </row>
    <row r="8" spans="1:22" x14ac:dyDescent="0.3">
      <c r="A8" s="5" t="s">
        <v>77</v>
      </c>
      <c r="B8" s="1" t="s">
        <v>58</v>
      </c>
      <c r="C8" s="1" t="s">
        <v>5</v>
      </c>
      <c r="D8" s="11">
        <v>45354.687881944446</v>
      </c>
      <c r="E8" s="1" t="s">
        <v>59</v>
      </c>
      <c r="F8" s="1" t="s">
        <v>27</v>
      </c>
      <c r="G8" s="1" t="s">
        <v>26</v>
      </c>
      <c r="H8" s="6" t="s">
        <v>6</v>
      </c>
      <c r="J8" t="str">
        <f t="shared" si="0"/>
        <v>790 Pine St Chicago, IL, 60601</v>
      </c>
      <c r="O8" t="str">
        <f t="shared" si="1"/>
        <v>0123554</v>
      </c>
      <c r="Q8">
        <f t="shared" si="2"/>
        <v>10</v>
      </c>
      <c r="R8">
        <f t="shared" si="3"/>
        <v>12</v>
      </c>
      <c r="S8" t="str">
        <f t="shared" si="4"/>
        <v>IL</v>
      </c>
      <c r="T8">
        <f t="shared" si="5"/>
        <v>10</v>
      </c>
      <c r="U8">
        <f t="shared" si="6"/>
        <v>12</v>
      </c>
      <c r="V8" t="str">
        <f t="shared" si="7"/>
        <v>IL</v>
      </c>
    </row>
    <row r="9" spans="1:22" x14ac:dyDescent="0.3">
      <c r="A9" s="5" t="s">
        <v>78</v>
      </c>
      <c r="B9" s="1" t="s">
        <v>46</v>
      </c>
      <c r="C9" s="1" t="s">
        <v>1</v>
      </c>
      <c r="D9" s="11">
        <v>45408.340810185182</v>
      </c>
      <c r="E9" s="1" t="s">
        <v>47</v>
      </c>
      <c r="F9" s="1" t="s">
        <v>31</v>
      </c>
      <c r="G9" s="1" t="s">
        <v>30</v>
      </c>
      <c r="H9" s="6" t="s">
        <v>15</v>
      </c>
      <c r="J9" t="str">
        <f t="shared" si="0"/>
        <v>204 Birch St Philadelphia, PA, 19101</v>
      </c>
      <c r="O9" t="str">
        <f t="shared" si="1"/>
        <v>0123555</v>
      </c>
      <c r="Q9">
        <f t="shared" si="2"/>
        <v>15</v>
      </c>
      <c r="R9">
        <f t="shared" si="3"/>
        <v>17</v>
      </c>
      <c r="S9" t="str">
        <f t="shared" si="4"/>
        <v>PA</v>
      </c>
      <c r="T9">
        <f t="shared" si="5"/>
        <v>15</v>
      </c>
      <c r="U9">
        <f t="shared" si="6"/>
        <v>17</v>
      </c>
      <c r="V9" t="str">
        <f t="shared" si="7"/>
        <v>PA</v>
      </c>
    </row>
    <row r="10" spans="1:22" x14ac:dyDescent="0.3">
      <c r="A10" s="5" t="s">
        <v>79</v>
      </c>
      <c r="B10" s="1" t="s">
        <v>50</v>
      </c>
      <c r="C10" s="1" t="s">
        <v>7</v>
      </c>
      <c r="D10" s="11">
        <v>45458.743333333332</v>
      </c>
      <c r="E10" s="1" t="s">
        <v>51</v>
      </c>
      <c r="F10" s="1" t="s">
        <v>33</v>
      </c>
      <c r="G10" s="1" t="s">
        <v>26</v>
      </c>
      <c r="H10" s="6" t="s">
        <v>18</v>
      </c>
      <c r="J10" t="str">
        <f t="shared" si="0"/>
        <v>123 Elm St Chicago, IL, 60601</v>
      </c>
      <c r="O10" t="str">
        <f t="shared" si="1"/>
        <v>0123556</v>
      </c>
      <c r="Q10">
        <f t="shared" si="2"/>
        <v>10</v>
      </c>
      <c r="R10">
        <f t="shared" si="3"/>
        <v>12</v>
      </c>
      <c r="S10" t="str">
        <f t="shared" si="4"/>
        <v>IL</v>
      </c>
      <c r="T10">
        <f t="shared" si="5"/>
        <v>10</v>
      </c>
      <c r="U10">
        <f t="shared" si="6"/>
        <v>12</v>
      </c>
      <c r="V10" t="str">
        <f t="shared" si="7"/>
        <v>IL</v>
      </c>
    </row>
    <row r="11" spans="1:22" x14ac:dyDescent="0.3">
      <c r="A11" s="5" t="s">
        <v>80</v>
      </c>
      <c r="B11" s="1" t="s">
        <v>54</v>
      </c>
      <c r="C11" s="1" t="s">
        <v>12</v>
      </c>
      <c r="D11" s="11">
        <v>45480.608055555553</v>
      </c>
      <c r="E11" s="1" t="s">
        <v>55</v>
      </c>
      <c r="F11" s="1" t="s">
        <v>33</v>
      </c>
      <c r="G11" s="1" t="s">
        <v>32</v>
      </c>
      <c r="H11" s="6" t="s">
        <v>13</v>
      </c>
      <c r="J11" t="str">
        <f t="shared" si="0"/>
        <v>123 Elm St Los Angeles, CA, 90001</v>
      </c>
      <c r="O11" t="str">
        <f t="shared" si="1"/>
        <v>0123557</v>
      </c>
      <c r="Q11">
        <f t="shared" si="2"/>
        <v>14</v>
      </c>
      <c r="R11">
        <f t="shared" si="3"/>
        <v>16</v>
      </c>
      <c r="S11" t="str">
        <f t="shared" si="4"/>
        <v>CA</v>
      </c>
      <c r="T11">
        <f t="shared" si="5"/>
        <v>14</v>
      </c>
      <c r="U11">
        <f t="shared" si="6"/>
        <v>16</v>
      </c>
      <c r="V11" t="str">
        <f t="shared" si="7"/>
        <v>CA</v>
      </c>
    </row>
    <row r="12" spans="1:22" x14ac:dyDescent="0.3">
      <c r="A12" s="5" t="s">
        <v>81</v>
      </c>
      <c r="B12" s="1" t="s">
        <v>44</v>
      </c>
      <c r="C12" s="1" t="s">
        <v>7</v>
      </c>
      <c r="D12" s="11">
        <v>45455.284930555557</v>
      </c>
      <c r="E12" s="1" t="s">
        <v>45</v>
      </c>
      <c r="F12" s="1" t="s">
        <v>33</v>
      </c>
      <c r="G12" s="1" t="s">
        <v>34</v>
      </c>
      <c r="H12" s="6" t="s">
        <v>17</v>
      </c>
      <c r="J12" t="str">
        <f t="shared" si="0"/>
        <v>123 Elm St San Diego, CA, 92101</v>
      </c>
      <c r="O12" t="str">
        <f t="shared" si="1"/>
        <v>0123558</v>
      </c>
      <c r="Q12">
        <f t="shared" si="2"/>
        <v>12</v>
      </c>
      <c r="R12">
        <f t="shared" si="3"/>
        <v>14</v>
      </c>
      <c r="S12" t="str">
        <f t="shared" si="4"/>
        <v>CA</v>
      </c>
      <c r="T12">
        <f t="shared" si="5"/>
        <v>12</v>
      </c>
      <c r="U12">
        <f t="shared" si="6"/>
        <v>14</v>
      </c>
      <c r="V12" t="str">
        <f t="shared" si="7"/>
        <v>CA</v>
      </c>
    </row>
    <row r="13" spans="1:22" x14ac:dyDescent="0.3">
      <c r="A13" s="5" t="s">
        <v>82</v>
      </c>
      <c r="B13" s="1" t="s">
        <v>56</v>
      </c>
      <c r="C13" s="1" t="s">
        <v>9</v>
      </c>
      <c r="D13" s="11">
        <v>44951.552141203705</v>
      </c>
      <c r="E13" s="1" t="s">
        <v>57</v>
      </c>
      <c r="F13" s="1" t="s">
        <v>35</v>
      </c>
      <c r="G13" s="1" t="s">
        <v>26</v>
      </c>
      <c r="H13" s="6" t="s">
        <v>16</v>
      </c>
      <c r="J13" t="str">
        <f t="shared" si="0"/>
        <v>202 Birch St Chicago, IL, 60601</v>
      </c>
      <c r="O13" t="str">
        <f t="shared" si="1"/>
        <v>0123559</v>
      </c>
      <c r="Q13">
        <f t="shared" si="2"/>
        <v>10</v>
      </c>
      <c r="R13">
        <f t="shared" si="3"/>
        <v>12</v>
      </c>
      <c r="S13" t="str">
        <f t="shared" si="4"/>
        <v>IL</v>
      </c>
      <c r="T13">
        <f t="shared" si="5"/>
        <v>10</v>
      </c>
      <c r="U13">
        <f t="shared" si="6"/>
        <v>12</v>
      </c>
      <c r="V13" t="str">
        <f t="shared" si="7"/>
        <v>IL</v>
      </c>
    </row>
    <row r="14" spans="1:22" x14ac:dyDescent="0.3">
      <c r="A14" s="5" t="s">
        <v>83</v>
      </c>
      <c r="B14" s="1" t="s">
        <v>46</v>
      </c>
      <c r="C14" s="1" t="s">
        <v>12</v>
      </c>
      <c r="D14" s="11">
        <v>45002.490034722221</v>
      </c>
      <c r="E14" s="1" t="s">
        <v>47</v>
      </c>
      <c r="F14" s="1" t="s">
        <v>31</v>
      </c>
      <c r="G14" s="1" t="s">
        <v>30</v>
      </c>
      <c r="H14" s="6" t="s">
        <v>15</v>
      </c>
      <c r="J14" t="str">
        <f t="shared" si="0"/>
        <v>204 Birch St Philadelphia, PA, 19101</v>
      </c>
      <c r="O14" t="str">
        <f t="shared" si="1"/>
        <v>0123560</v>
      </c>
      <c r="Q14">
        <f t="shared" si="2"/>
        <v>15</v>
      </c>
      <c r="R14">
        <f t="shared" si="3"/>
        <v>17</v>
      </c>
      <c r="S14" t="str">
        <f t="shared" si="4"/>
        <v>PA</v>
      </c>
      <c r="T14">
        <f t="shared" si="5"/>
        <v>15</v>
      </c>
      <c r="U14">
        <f t="shared" si="6"/>
        <v>17</v>
      </c>
      <c r="V14" t="str">
        <f t="shared" si="7"/>
        <v>PA</v>
      </c>
    </row>
    <row r="15" spans="1:22" x14ac:dyDescent="0.3">
      <c r="A15" s="5" t="s">
        <v>84</v>
      </c>
      <c r="B15" s="1" t="s">
        <v>52</v>
      </c>
      <c r="C15" s="1" t="s">
        <v>9</v>
      </c>
      <c r="D15" s="11">
        <v>45078.417256944442</v>
      </c>
      <c r="E15" s="1" t="s">
        <v>53</v>
      </c>
      <c r="F15" s="1" t="s">
        <v>33</v>
      </c>
      <c r="G15" s="1" t="s">
        <v>26</v>
      </c>
      <c r="H15" s="6" t="s">
        <v>19</v>
      </c>
      <c r="J15" t="str">
        <f t="shared" si="0"/>
        <v>123 Elm St Chicago, IL, 60601</v>
      </c>
      <c r="O15" t="str">
        <f t="shared" si="1"/>
        <v>0123561</v>
      </c>
      <c r="Q15">
        <f t="shared" si="2"/>
        <v>10</v>
      </c>
      <c r="R15">
        <f t="shared" si="3"/>
        <v>12</v>
      </c>
      <c r="S15" t="str">
        <f t="shared" si="4"/>
        <v>IL</v>
      </c>
      <c r="T15">
        <f t="shared" si="5"/>
        <v>10</v>
      </c>
      <c r="U15">
        <f t="shared" si="6"/>
        <v>12</v>
      </c>
      <c r="V15" t="str">
        <f t="shared" si="7"/>
        <v>IL</v>
      </c>
    </row>
    <row r="16" spans="1:22" x14ac:dyDescent="0.3">
      <c r="A16" s="5" t="s">
        <v>85</v>
      </c>
      <c r="B16" s="1" t="s">
        <v>60</v>
      </c>
      <c r="C16" s="1" t="s">
        <v>9</v>
      </c>
      <c r="D16" s="11">
        <v>45168.729328703703</v>
      </c>
      <c r="E16" s="1" t="s">
        <v>61</v>
      </c>
      <c r="F16" s="1" t="s">
        <v>28</v>
      </c>
      <c r="G16" s="1" t="s">
        <v>26</v>
      </c>
      <c r="H16" s="6" t="s">
        <v>20</v>
      </c>
      <c r="J16" t="str">
        <f t="shared" si="0"/>
        <v>456 Oak St Chicago, IL, 60601</v>
      </c>
      <c r="O16" t="str">
        <f t="shared" si="1"/>
        <v>0123562</v>
      </c>
      <c r="Q16">
        <f t="shared" si="2"/>
        <v>10</v>
      </c>
      <c r="R16">
        <f t="shared" si="3"/>
        <v>12</v>
      </c>
      <c r="S16" t="str">
        <f t="shared" si="4"/>
        <v>IL</v>
      </c>
      <c r="T16">
        <f t="shared" si="5"/>
        <v>10</v>
      </c>
      <c r="U16">
        <f t="shared" si="6"/>
        <v>12</v>
      </c>
      <c r="V16" t="str">
        <f t="shared" si="7"/>
        <v>IL</v>
      </c>
    </row>
    <row r="17" spans="1:22" x14ac:dyDescent="0.3">
      <c r="A17" s="5" t="s">
        <v>86</v>
      </c>
      <c r="B17" s="1" t="s">
        <v>38</v>
      </c>
      <c r="C17" s="1" t="s">
        <v>7</v>
      </c>
      <c r="D17" s="11">
        <v>45218.319780092592</v>
      </c>
      <c r="E17" s="1" t="s">
        <v>39</v>
      </c>
      <c r="F17" s="1" t="s">
        <v>25</v>
      </c>
      <c r="G17" s="1" t="s">
        <v>37</v>
      </c>
      <c r="H17" s="6" t="s">
        <v>14</v>
      </c>
      <c r="J17" t="str">
        <f t="shared" si="0"/>
        <v>203 Birch St Chicago, IL, 60602</v>
      </c>
      <c r="O17" t="str">
        <f t="shared" si="1"/>
        <v>0123563</v>
      </c>
      <c r="Q17">
        <f t="shared" si="2"/>
        <v>10</v>
      </c>
      <c r="R17">
        <f t="shared" si="3"/>
        <v>12</v>
      </c>
      <c r="S17" t="str">
        <f t="shared" si="4"/>
        <v>IL</v>
      </c>
      <c r="T17">
        <f t="shared" si="5"/>
        <v>10</v>
      </c>
      <c r="U17">
        <f t="shared" si="6"/>
        <v>12</v>
      </c>
      <c r="V17" t="str">
        <f t="shared" si="7"/>
        <v>IL</v>
      </c>
    </row>
    <row r="18" spans="1:22" x14ac:dyDescent="0.3">
      <c r="A18" s="5" t="s">
        <v>87</v>
      </c>
      <c r="B18" s="1" t="s">
        <v>40</v>
      </c>
      <c r="C18" s="1" t="s">
        <v>12</v>
      </c>
      <c r="D18" s="11">
        <v>45350.719236111108</v>
      </c>
      <c r="E18" s="1" t="s">
        <v>41</v>
      </c>
      <c r="F18" s="1" t="s">
        <v>29</v>
      </c>
      <c r="G18" s="1" t="s">
        <v>30</v>
      </c>
      <c r="H18" s="6" t="s">
        <v>10</v>
      </c>
      <c r="J18" t="str">
        <f t="shared" si="0"/>
        <v>459 Oak St Philadelphia, PA, 19101</v>
      </c>
      <c r="O18" t="str">
        <f t="shared" si="1"/>
        <v>0123564</v>
      </c>
      <c r="Q18">
        <f t="shared" si="2"/>
        <v>15</v>
      </c>
      <c r="R18">
        <f t="shared" si="3"/>
        <v>17</v>
      </c>
      <c r="S18" t="str">
        <f t="shared" si="4"/>
        <v>PA</v>
      </c>
      <c r="T18">
        <f t="shared" si="5"/>
        <v>15</v>
      </c>
      <c r="U18">
        <f t="shared" si="6"/>
        <v>17</v>
      </c>
      <c r="V18" t="str">
        <f t="shared" si="7"/>
        <v>PA</v>
      </c>
    </row>
    <row r="19" spans="1:22" x14ac:dyDescent="0.3">
      <c r="A19" s="5" t="s">
        <v>88</v>
      </c>
      <c r="B19" s="1" t="s">
        <v>48</v>
      </c>
      <c r="C19" s="1" t="s">
        <v>7</v>
      </c>
      <c r="D19" s="11">
        <v>45418.726354166669</v>
      </c>
      <c r="E19" s="1" t="s">
        <v>49</v>
      </c>
      <c r="F19" s="1" t="s">
        <v>28</v>
      </c>
      <c r="G19" s="1" t="s">
        <v>36</v>
      </c>
      <c r="H19" s="6" t="s">
        <v>8</v>
      </c>
      <c r="J19" t="str">
        <f t="shared" si="0"/>
        <v>456 Oak St New York, NY, 10001</v>
      </c>
      <c r="O19" t="str">
        <f t="shared" si="1"/>
        <v>0123565</v>
      </c>
      <c r="Q19">
        <f t="shared" si="2"/>
        <v>11</v>
      </c>
      <c r="R19">
        <f t="shared" si="3"/>
        <v>13</v>
      </c>
      <c r="S19" t="str">
        <f t="shared" si="4"/>
        <v>NY</v>
      </c>
      <c r="T19">
        <f t="shared" si="5"/>
        <v>11</v>
      </c>
      <c r="U19">
        <f t="shared" si="6"/>
        <v>13</v>
      </c>
      <c r="V19" t="str">
        <f t="shared" si="7"/>
        <v>NY</v>
      </c>
    </row>
    <row r="20" spans="1:22" x14ac:dyDescent="0.3">
      <c r="A20" s="5" t="s">
        <v>89</v>
      </c>
      <c r="B20" s="1" t="s">
        <v>40</v>
      </c>
      <c r="C20" s="1" t="s">
        <v>9</v>
      </c>
      <c r="D20" s="11">
        <v>45496.291701388887</v>
      </c>
      <c r="E20" s="1" t="s">
        <v>41</v>
      </c>
      <c r="F20" s="1" t="s">
        <v>29</v>
      </c>
      <c r="G20" s="1" t="s">
        <v>30</v>
      </c>
      <c r="H20" s="6" t="s">
        <v>10</v>
      </c>
      <c r="J20" t="str">
        <f t="shared" si="0"/>
        <v>459 Oak St Philadelphia, PA, 19101</v>
      </c>
      <c r="O20" t="str">
        <f t="shared" si="1"/>
        <v>0123566</v>
      </c>
      <c r="Q20">
        <f t="shared" si="2"/>
        <v>15</v>
      </c>
      <c r="R20">
        <f t="shared" si="3"/>
        <v>17</v>
      </c>
      <c r="S20" t="str">
        <f t="shared" si="4"/>
        <v>PA</v>
      </c>
      <c r="T20">
        <f t="shared" si="5"/>
        <v>15</v>
      </c>
      <c r="U20">
        <f t="shared" si="6"/>
        <v>17</v>
      </c>
      <c r="V20" t="str">
        <f t="shared" si="7"/>
        <v>PA</v>
      </c>
    </row>
    <row r="21" spans="1:22" ht="15" thickBot="1" x14ac:dyDescent="0.35">
      <c r="A21" s="5" t="s">
        <v>90</v>
      </c>
      <c r="B21" s="7" t="s">
        <v>40</v>
      </c>
      <c r="C21" s="7" t="s">
        <v>9</v>
      </c>
      <c r="D21" s="12">
        <v>45422.739884259259</v>
      </c>
      <c r="E21" s="7" t="s">
        <v>41</v>
      </c>
      <c r="F21" s="7" t="s">
        <v>29</v>
      </c>
      <c r="G21" s="7" t="s">
        <v>36</v>
      </c>
      <c r="H21" s="8" t="s">
        <v>10</v>
      </c>
      <c r="J21" t="str">
        <f t="shared" si="0"/>
        <v>459 Oak St New York, NY, 10001</v>
      </c>
      <c r="O21" t="str">
        <f t="shared" si="1"/>
        <v>0123567</v>
      </c>
      <c r="Q21">
        <f t="shared" si="2"/>
        <v>11</v>
      </c>
      <c r="R21">
        <f t="shared" si="3"/>
        <v>13</v>
      </c>
      <c r="S21" t="str">
        <f t="shared" si="4"/>
        <v>NY</v>
      </c>
      <c r="T21">
        <f t="shared" si="5"/>
        <v>11</v>
      </c>
      <c r="U21">
        <f t="shared" si="6"/>
        <v>13</v>
      </c>
      <c r="V21" t="str">
        <f t="shared" si="7"/>
        <v>NY</v>
      </c>
    </row>
  </sheetData>
  <sortState xmlns:xlrd2="http://schemas.microsoft.com/office/spreadsheetml/2017/richdata2" ref="B2:H22">
    <sortCondition ref="D1:D22"/>
  </sortState>
  <mergeCells count="2">
    <mergeCell ref="Q1:S1"/>
    <mergeCell ref="T1:V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CB134-41DE-47D5-9456-1C60C9867AFA}">
  <dimension ref="A1:J21"/>
  <sheetViews>
    <sheetView topLeftCell="C1" workbookViewId="0">
      <selection activeCell="J2" sqref="J2"/>
    </sheetView>
  </sheetViews>
  <sheetFormatPr baseColWidth="10" defaultColWidth="8.88671875" defaultRowHeight="14.4" x14ac:dyDescent="0.3"/>
  <cols>
    <col min="1" max="1" width="14.21875" bestFit="1" customWidth="1"/>
    <col min="2" max="2" width="18.6640625" customWidth="1"/>
    <col min="3" max="3" width="27.21875" style="9" bestFit="1" customWidth="1"/>
    <col min="4" max="4" width="16.5546875" customWidth="1"/>
    <col min="5" max="5" width="11" bestFit="1" customWidth="1"/>
    <col min="6" max="6" width="22" bestFit="1" customWidth="1"/>
    <col min="7" max="7" width="40" bestFit="1" customWidth="1"/>
    <col min="8" max="8" width="40" customWidth="1"/>
    <col min="9" max="9" width="9" customWidth="1"/>
    <col min="10" max="10" width="29.109375" bestFit="1" customWidth="1"/>
  </cols>
  <sheetData>
    <row r="1" spans="1:10" x14ac:dyDescent="0.3">
      <c r="A1" s="2" t="s">
        <v>69</v>
      </c>
      <c r="B1" s="3" t="s">
        <v>2</v>
      </c>
      <c r="C1" s="3" t="s">
        <v>3</v>
      </c>
      <c r="D1" s="10" t="s">
        <v>92</v>
      </c>
      <c r="E1" s="3" t="s">
        <v>0</v>
      </c>
      <c r="F1" s="3" t="s">
        <v>21</v>
      </c>
      <c r="G1" s="3" t="s">
        <v>22</v>
      </c>
      <c r="H1" s="4" t="s">
        <v>4</v>
      </c>
      <c r="J1" s="14" t="s">
        <v>62</v>
      </c>
    </row>
    <row r="2" spans="1:10" x14ac:dyDescent="0.3">
      <c r="A2" s="5" t="s">
        <v>72</v>
      </c>
      <c r="B2" s="1" t="s">
        <v>42</v>
      </c>
      <c r="C2" s="1" t="s">
        <v>1</v>
      </c>
      <c r="D2" s="11">
        <v>44971.640451388892</v>
      </c>
      <c r="E2" s="1" t="s">
        <v>43</v>
      </c>
      <c r="F2" s="1" t="s">
        <v>23</v>
      </c>
      <c r="G2" s="1" t="s">
        <v>24</v>
      </c>
      <c r="H2" s="6" t="s">
        <v>11</v>
      </c>
      <c r="J2" t="str">
        <f>_xlfn.TEXTJOIN(" ",TRUE,F2,G2)</f>
        <v>457 Oak St San Jose, CA, 95101</v>
      </c>
    </row>
    <row r="3" spans="1:10" x14ac:dyDescent="0.3">
      <c r="A3" s="5" t="s">
        <v>71</v>
      </c>
      <c r="B3" s="1" t="s">
        <v>38</v>
      </c>
      <c r="C3" s="1" t="s">
        <v>5</v>
      </c>
      <c r="D3" s="11">
        <v>45055.40662037037</v>
      </c>
      <c r="E3" s="1" t="s">
        <v>39</v>
      </c>
      <c r="F3" s="1" t="s">
        <v>25</v>
      </c>
      <c r="G3" s="1" t="s">
        <v>26</v>
      </c>
      <c r="H3" s="6" t="s">
        <v>14</v>
      </c>
      <c r="J3" t="str">
        <f t="shared" ref="J3:J21" si="0">_xlfn.TEXTJOIN(" ",TRUE,F3,G3)</f>
        <v>203 Birch St Chicago, IL, 60601</v>
      </c>
    </row>
    <row r="4" spans="1:10" x14ac:dyDescent="0.3">
      <c r="A4" s="5" t="s">
        <v>73</v>
      </c>
      <c r="B4" s="1" t="s">
        <v>58</v>
      </c>
      <c r="C4" s="1" t="s">
        <v>12</v>
      </c>
      <c r="D4" s="11">
        <v>45128.729710648149</v>
      </c>
      <c r="E4" s="1" t="s">
        <v>59</v>
      </c>
      <c r="F4" s="1" t="s">
        <v>27</v>
      </c>
      <c r="G4" s="1" t="s">
        <v>26</v>
      </c>
      <c r="H4" s="6" t="s">
        <v>6</v>
      </c>
      <c r="J4" t="str">
        <f t="shared" si="0"/>
        <v>790 Pine St Chicago, IL, 60601</v>
      </c>
    </row>
    <row r="5" spans="1:10" x14ac:dyDescent="0.3">
      <c r="A5" s="5" t="s">
        <v>74</v>
      </c>
      <c r="B5" s="1" t="s">
        <v>42</v>
      </c>
      <c r="C5" s="1" t="s">
        <v>5</v>
      </c>
      <c r="D5" s="11">
        <v>45173.302187499998</v>
      </c>
      <c r="E5" s="1" t="s">
        <v>43</v>
      </c>
      <c r="F5" s="1" t="s">
        <v>23</v>
      </c>
      <c r="G5" s="1" t="s">
        <v>24</v>
      </c>
      <c r="H5" s="6" t="s">
        <v>11</v>
      </c>
      <c r="J5" t="str">
        <f t="shared" si="0"/>
        <v>457 Oak St San Jose, CA, 95101</v>
      </c>
    </row>
    <row r="6" spans="1:10" x14ac:dyDescent="0.3">
      <c r="A6" s="5" t="s">
        <v>75</v>
      </c>
      <c r="B6" s="1" t="s">
        <v>40</v>
      </c>
      <c r="C6" s="1" t="s">
        <v>7</v>
      </c>
      <c r="D6" s="11">
        <v>45248.70857638889</v>
      </c>
      <c r="E6" s="1" t="s">
        <v>41</v>
      </c>
      <c r="F6" s="1" t="s">
        <v>29</v>
      </c>
      <c r="G6" s="1" t="s">
        <v>30</v>
      </c>
      <c r="H6" s="6" t="s">
        <v>10</v>
      </c>
      <c r="J6" t="str">
        <f t="shared" si="0"/>
        <v>459 Oak St Philadelphia, PA, 19101</v>
      </c>
    </row>
    <row r="7" spans="1:10" x14ac:dyDescent="0.3">
      <c r="A7" s="5" t="s">
        <v>76</v>
      </c>
      <c r="B7" s="1" t="s">
        <v>46</v>
      </c>
      <c r="C7" s="1" t="s">
        <v>9</v>
      </c>
      <c r="D7" s="11">
        <v>45302.531921296293</v>
      </c>
      <c r="E7" s="1" t="s">
        <v>47</v>
      </c>
      <c r="F7" s="1" t="s">
        <v>31</v>
      </c>
      <c r="G7" s="1" t="s">
        <v>30</v>
      </c>
      <c r="H7" s="6" t="s">
        <v>15</v>
      </c>
      <c r="J7" t="str">
        <f t="shared" si="0"/>
        <v>204 Birch St Philadelphia, PA, 19101</v>
      </c>
    </row>
    <row r="8" spans="1:10" x14ac:dyDescent="0.3">
      <c r="A8" s="5" t="s">
        <v>77</v>
      </c>
      <c r="B8" s="1" t="s">
        <v>58</v>
      </c>
      <c r="C8" s="1" t="s">
        <v>5</v>
      </c>
      <c r="D8" s="11">
        <v>45354.687881944446</v>
      </c>
      <c r="E8" s="1" t="s">
        <v>59</v>
      </c>
      <c r="F8" s="1" t="s">
        <v>27</v>
      </c>
      <c r="G8" s="1" t="s">
        <v>26</v>
      </c>
      <c r="H8" s="6" t="s">
        <v>6</v>
      </c>
      <c r="J8" t="str">
        <f t="shared" si="0"/>
        <v>790 Pine St Chicago, IL, 60601</v>
      </c>
    </row>
    <row r="9" spans="1:10" x14ac:dyDescent="0.3">
      <c r="A9" s="5" t="s">
        <v>78</v>
      </c>
      <c r="B9" s="1" t="s">
        <v>46</v>
      </c>
      <c r="C9" s="1" t="s">
        <v>1</v>
      </c>
      <c r="D9" s="11">
        <v>45408.340810185182</v>
      </c>
      <c r="E9" s="1" t="s">
        <v>47</v>
      </c>
      <c r="F9" s="1" t="s">
        <v>31</v>
      </c>
      <c r="G9" s="1" t="s">
        <v>30</v>
      </c>
      <c r="H9" s="6" t="s">
        <v>15</v>
      </c>
      <c r="J9" t="str">
        <f t="shared" si="0"/>
        <v>204 Birch St Philadelphia, PA, 19101</v>
      </c>
    </row>
    <row r="10" spans="1:10" x14ac:dyDescent="0.3">
      <c r="A10" s="5" t="s">
        <v>79</v>
      </c>
      <c r="B10" s="1" t="s">
        <v>50</v>
      </c>
      <c r="C10" s="1" t="s">
        <v>7</v>
      </c>
      <c r="D10" s="11">
        <v>45458.743333333332</v>
      </c>
      <c r="E10" s="1" t="s">
        <v>51</v>
      </c>
      <c r="F10" s="1" t="s">
        <v>33</v>
      </c>
      <c r="G10" s="1" t="s">
        <v>26</v>
      </c>
      <c r="H10" s="6" t="s">
        <v>18</v>
      </c>
      <c r="J10" t="str">
        <f t="shared" si="0"/>
        <v>123 Elm St Chicago, IL, 60601</v>
      </c>
    </row>
    <row r="11" spans="1:10" x14ac:dyDescent="0.3">
      <c r="A11" s="5" t="s">
        <v>80</v>
      </c>
      <c r="B11" s="1" t="s">
        <v>54</v>
      </c>
      <c r="C11" s="1" t="s">
        <v>12</v>
      </c>
      <c r="D11" s="11">
        <v>45480.608055555553</v>
      </c>
      <c r="E11" s="1" t="s">
        <v>55</v>
      </c>
      <c r="F11" s="1" t="s">
        <v>33</v>
      </c>
      <c r="G11" s="1" t="s">
        <v>32</v>
      </c>
      <c r="H11" s="6" t="s">
        <v>13</v>
      </c>
      <c r="J11" t="str">
        <f t="shared" si="0"/>
        <v>123 Elm St Los Angeles, CA, 90001</v>
      </c>
    </row>
    <row r="12" spans="1:10" x14ac:dyDescent="0.3">
      <c r="A12" s="5" t="s">
        <v>81</v>
      </c>
      <c r="B12" s="1" t="s">
        <v>44</v>
      </c>
      <c r="C12" s="1" t="s">
        <v>7</v>
      </c>
      <c r="D12" s="11">
        <v>45455.284930555557</v>
      </c>
      <c r="E12" s="1" t="s">
        <v>45</v>
      </c>
      <c r="F12" s="1" t="s">
        <v>33</v>
      </c>
      <c r="G12" s="1" t="s">
        <v>34</v>
      </c>
      <c r="H12" s="6" t="s">
        <v>17</v>
      </c>
      <c r="J12" t="str">
        <f t="shared" si="0"/>
        <v>123 Elm St San Diego, CA, 92101</v>
      </c>
    </row>
    <row r="13" spans="1:10" x14ac:dyDescent="0.3">
      <c r="A13" s="5" t="s">
        <v>82</v>
      </c>
      <c r="B13" s="1" t="s">
        <v>56</v>
      </c>
      <c r="C13" s="1" t="s">
        <v>9</v>
      </c>
      <c r="D13" s="11">
        <v>44951.552141203705</v>
      </c>
      <c r="E13" s="1" t="s">
        <v>57</v>
      </c>
      <c r="F13" s="1" t="s">
        <v>35</v>
      </c>
      <c r="G13" s="1" t="s">
        <v>26</v>
      </c>
      <c r="H13" s="6" t="s">
        <v>16</v>
      </c>
      <c r="J13" t="str">
        <f t="shared" si="0"/>
        <v>202 Birch St Chicago, IL, 60601</v>
      </c>
    </row>
    <row r="14" spans="1:10" x14ac:dyDescent="0.3">
      <c r="A14" s="5" t="s">
        <v>83</v>
      </c>
      <c r="B14" s="1" t="s">
        <v>46</v>
      </c>
      <c r="C14" s="1" t="s">
        <v>12</v>
      </c>
      <c r="D14" s="11">
        <v>45002.490034722221</v>
      </c>
      <c r="E14" s="1" t="s">
        <v>47</v>
      </c>
      <c r="F14" s="1" t="s">
        <v>31</v>
      </c>
      <c r="G14" s="1" t="s">
        <v>30</v>
      </c>
      <c r="H14" s="6" t="s">
        <v>15</v>
      </c>
      <c r="J14" t="str">
        <f t="shared" si="0"/>
        <v>204 Birch St Philadelphia, PA, 19101</v>
      </c>
    </row>
    <row r="15" spans="1:10" x14ac:dyDescent="0.3">
      <c r="A15" s="5" t="s">
        <v>84</v>
      </c>
      <c r="B15" s="1" t="s">
        <v>52</v>
      </c>
      <c r="C15" s="1" t="s">
        <v>9</v>
      </c>
      <c r="D15" s="11">
        <v>45078.417256944442</v>
      </c>
      <c r="E15" s="1" t="s">
        <v>53</v>
      </c>
      <c r="F15" s="1" t="s">
        <v>33</v>
      </c>
      <c r="G15" s="1" t="s">
        <v>26</v>
      </c>
      <c r="H15" s="6" t="s">
        <v>19</v>
      </c>
      <c r="J15" t="str">
        <f t="shared" si="0"/>
        <v>123 Elm St Chicago, IL, 60601</v>
      </c>
    </row>
    <row r="16" spans="1:10" x14ac:dyDescent="0.3">
      <c r="A16" s="5" t="s">
        <v>85</v>
      </c>
      <c r="B16" s="1" t="s">
        <v>60</v>
      </c>
      <c r="C16" s="1" t="s">
        <v>9</v>
      </c>
      <c r="D16" s="11">
        <v>45168.729328703703</v>
      </c>
      <c r="E16" s="1" t="s">
        <v>61</v>
      </c>
      <c r="F16" s="1" t="s">
        <v>28</v>
      </c>
      <c r="G16" s="1" t="s">
        <v>26</v>
      </c>
      <c r="H16" s="6" t="s">
        <v>20</v>
      </c>
      <c r="J16" t="str">
        <f t="shared" si="0"/>
        <v>456 Oak St Chicago, IL, 60601</v>
      </c>
    </row>
    <row r="17" spans="1:10" x14ac:dyDescent="0.3">
      <c r="A17" s="5" t="s">
        <v>86</v>
      </c>
      <c r="B17" s="1" t="s">
        <v>38</v>
      </c>
      <c r="C17" s="1" t="s">
        <v>7</v>
      </c>
      <c r="D17" s="11">
        <v>45218.319780092592</v>
      </c>
      <c r="E17" s="1" t="s">
        <v>39</v>
      </c>
      <c r="F17" s="1" t="s">
        <v>25</v>
      </c>
      <c r="G17" s="1" t="s">
        <v>37</v>
      </c>
      <c r="H17" s="6" t="s">
        <v>14</v>
      </c>
      <c r="J17" t="str">
        <f t="shared" si="0"/>
        <v>203 Birch St Chicago, IL, 60602</v>
      </c>
    </row>
    <row r="18" spans="1:10" x14ac:dyDescent="0.3">
      <c r="A18" s="5" t="s">
        <v>87</v>
      </c>
      <c r="B18" s="1" t="s">
        <v>40</v>
      </c>
      <c r="C18" s="1" t="s">
        <v>12</v>
      </c>
      <c r="D18" s="11">
        <v>45350.719236111108</v>
      </c>
      <c r="E18" s="1" t="s">
        <v>41</v>
      </c>
      <c r="F18" s="1" t="s">
        <v>29</v>
      </c>
      <c r="G18" s="1" t="s">
        <v>30</v>
      </c>
      <c r="H18" s="6" t="s">
        <v>10</v>
      </c>
      <c r="J18" t="str">
        <f t="shared" si="0"/>
        <v>459 Oak St Philadelphia, PA, 19101</v>
      </c>
    </row>
    <row r="19" spans="1:10" x14ac:dyDescent="0.3">
      <c r="A19" s="5" t="s">
        <v>88</v>
      </c>
      <c r="B19" s="1" t="s">
        <v>48</v>
      </c>
      <c r="C19" s="1" t="s">
        <v>7</v>
      </c>
      <c r="D19" s="11">
        <v>45418.726354166669</v>
      </c>
      <c r="E19" s="1" t="s">
        <v>49</v>
      </c>
      <c r="F19" s="1" t="s">
        <v>28</v>
      </c>
      <c r="G19" s="1" t="s">
        <v>36</v>
      </c>
      <c r="H19" s="6" t="s">
        <v>8</v>
      </c>
      <c r="J19" t="str">
        <f t="shared" si="0"/>
        <v>456 Oak St New York, NY, 10001</v>
      </c>
    </row>
    <row r="20" spans="1:10" x14ac:dyDescent="0.3">
      <c r="A20" s="5" t="s">
        <v>89</v>
      </c>
      <c r="B20" s="1" t="s">
        <v>40</v>
      </c>
      <c r="C20" s="1" t="s">
        <v>9</v>
      </c>
      <c r="D20" s="11">
        <v>45496.291701388887</v>
      </c>
      <c r="E20" s="1" t="s">
        <v>41</v>
      </c>
      <c r="F20" s="1" t="s">
        <v>29</v>
      </c>
      <c r="G20" s="1" t="s">
        <v>30</v>
      </c>
      <c r="H20" s="6" t="s">
        <v>10</v>
      </c>
      <c r="J20" t="str">
        <f t="shared" si="0"/>
        <v>459 Oak St Philadelphia, PA, 19101</v>
      </c>
    </row>
    <row r="21" spans="1:10" ht="15" thickBot="1" x14ac:dyDescent="0.35">
      <c r="A21" s="5" t="s">
        <v>90</v>
      </c>
      <c r="B21" s="7" t="s">
        <v>40</v>
      </c>
      <c r="C21" s="7" t="s">
        <v>9</v>
      </c>
      <c r="D21" s="12">
        <v>45422.739884259259</v>
      </c>
      <c r="E21" s="7" t="s">
        <v>41</v>
      </c>
      <c r="F21" s="7" t="s">
        <v>29</v>
      </c>
      <c r="G21" s="7" t="s">
        <v>36</v>
      </c>
      <c r="H21" s="8" t="s">
        <v>10</v>
      </c>
      <c r="J21" t="str">
        <f t="shared" si="0"/>
        <v>459 Oak St New York, NY, 10001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197DD-EE87-4022-A4E6-1027B6E64DD6}">
  <dimension ref="A1:N21"/>
  <sheetViews>
    <sheetView topLeftCell="D1" workbookViewId="0">
      <selection activeCell="K24" sqref="K24"/>
    </sheetView>
  </sheetViews>
  <sheetFormatPr baseColWidth="10" defaultColWidth="8.88671875" defaultRowHeight="14.4" x14ac:dyDescent="0.3"/>
  <cols>
    <col min="1" max="1" width="14.21875" bestFit="1" customWidth="1"/>
    <col min="2" max="2" width="23.44140625" bestFit="1" customWidth="1"/>
    <col min="3" max="3" width="29" style="9" customWidth="1"/>
    <col min="4" max="4" width="16" customWidth="1"/>
    <col min="5" max="5" width="11.88671875" customWidth="1"/>
    <col min="6" max="6" width="22" customWidth="1"/>
    <col min="7" max="8" width="40" customWidth="1"/>
    <col min="9" max="9" width="10.5546875" bestFit="1" customWidth="1"/>
    <col min="10" max="10" width="10.109375" bestFit="1" customWidth="1"/>
    <col min="12" max="12" width="27.21875" bestFit="1" customWidth="1"/>
    <col min="13" max="13" width="17.6640625" bestFit="1" customWidth="1"/>
    <col min="14" max="14" width="18.5546875" bestFit="1" customWidth="1"/>
  </cols>
  <sheetData>
    <row r="1" spans="1:14" x14ac:dyDescent="0.3">
      <c r="A1" s="2" t="s">
        <v>69</v>
      </c>
      <c r="B1" s="3" t="s">
        <v>2</v>
      </c>
      <c r="C1" s="3" t="s">
        <v>3</v>
      </c>
      <c r="D1" s="10" t="s">
        <v>92</v>
      </c>
      <c r="E1" s="3" t="s">
        <v>0</v>
      </c>
      <c r="F1" s="3" t="s">
        <v>21</v>
      </c>
      <c r="G1" s="3" t="s">
        <v>22</v>
      </c>
      <c r="H1" s="4" t="s">
        <v>4</v>
      </c>
      <c r="I1" s="14" t="s">
        <v>65</v>
      </c>
      <c r="J1" s="14" t="s">
        <v>66</v>
      </c>
      <c r="K1" s="13"/>
      <c r="L1" s="14" t="s">
        <v>63</v>
      </c>
      <c r="M1" s="14" t="s">
        <v>70</v>
      </c>
      <c r="N1" s="14" t="s">
        <v>91</v>
      </c>
    </row>
    <row r="2" spans="1:14" x14ac:dyDescent="0.3">
      <c r="A2" s="5" t="s">
        <v>72</v>
      </c>
      <c r="B2" s="1" t="s">
        <v>42</v>
      </c>
      <c r="C2" s="1" t="s">
        <v>1</v>
      </c>
      <c r="D2" s="11">
        <v>44971.640451388892</v>
      </c>
      <c r="E2" s="1" t="s">
        <v>43</v>
      </c>
      <c r="F2" s="1" t="s">
        <v>23</v>
      </c>
      <c r="G2" s="1" t="s">
        <v>24</v>
      </c>
      <c r="H2" s="6" t="s">
        <v>11</v>
      </c>
      <c r="I2" t="str">
        <f>MID(B2,1,FIND(" ",B2))</f>
        <v xml:space="preserve">Pam </v>
      </c>
      <c r="J2" t="str">
        <f>MID(B2,FIND(" ",B2,LEN(I2)),LEN(B2)-LEN(I2)+1)</f>
        <v xml:space="preserve"> Beesly</v>
      </c>
      <c r="L2" t="str" cm="1">
        <f t="array" ref="L2:L6">_xlfn.UNIQUE(C2:C21)</f>
        <v>Data Analyst</v>
      </c>
      <c r="M2" t="b">
        <f>IF(LEN(A2)=10,TRUE,FALSE)</f>
        <v>1</v>
      </c>
      <c r="N2" t="str">
        <f>RIGHT(A2,7)</f>
        <v>0123548</v>
      </c>
    </row>
    <row r="3" spans="1:14" x14ac:dyDescent="0.3">
      <c r="A3" s="5" t="s">
        <v>71</v>
      </c>
      <c r="B3" s="1" t="s">
        <v>38</v>
      </c>
      <c r="C3" s="1" t="s">
        <v>5</v>
      </c>
      <c r="D3" s="11">
        <v>45055.40662037037</v>
      </c>
      <c r="E3" s="1" t="s">
        <v>39</v>
      </c>
      <c r="F3" s="1" t="s">
        <v>25</v>
      </c>
      <c r="G3" s="1" t="s">
        <v>26</v>
      </c>
      <c r="H3" s="6" t="s">
        <v>14</v>
      </c>
      <c r="I3" t="str">
        <f t="shared" ref="I3:I21" si="0">MID(B3,1,FIND(" ",B3))</f>
        <v xml:space="preserve">Michael </v>
      </c>
      <c r="J3" t="str">
        <f t="shared" ref="J3:J21" si="1">MID(B3,FIND(" ",B3,LEN(I3)),LEN(B3)-LEN(I3)+1)</f>
        <v xml:space="preserve"> Scott</v>
      </c>
      <c r="L3" t="str">
        <v>Business Intelligence Analyst</v>
      </c>
      <c r="M3" t="b">
        <f t="shared" ref="M3:M21" si="2">IF(LEN(A3)=10,TRUE,FALSE)</f>
        <v>1</v>
      </c>
      <c r="N3" t="str">
        <f t="shared" ref="N3:N21" si="3">RIGHT(A3,7)</f>
        <v>0123549</v>
      </c>
    </row>
    <row r="4" spans="1:14" x14ac:dyDescent="0.3">
      <c r="A4" s="5" t="s">
        <v>73</v>
      </c>
      <c r="B4" s="1" t="s">
        <v>58</v>
      </c>
      <c r="C4" s="1" t="s">
        <v>12</v>
      </c>
      <c r="D4" s="11">
        <v>45128.729710648149</v>
      </c>
      <c r="E4" s="1" t="s">
        <v>59</v>
      </c>
      <c r="F4" s="1" t="s">
        <v>27</v>
      </c>
      <c r="G4" s="1" t="s">
        <v>26</v>
      </c>
      <c r="H4" s="6" t="s">
        <v>6</v>
      </c>
      <c r="I4" t="str">
        <f t="shared" si="0"/>
        <v xml:space="preserve">Kevin </v>
      </c>
      <c r="J4" t="str">
        <f t="shared" si="1"/>
        <v xml:space="preserve"> Malone</v>
      </c>
      <c r="L4" t="str">
        <v>Data Engineer</v>
      </c>
      <c r="M4" t="b">
        <f t="shared" si="2"/>
        <v>1</v>
      </c>
      <c r="N4" t="str">
        <f t="shared" si="3"/>
        <v>0123550</v>
      </c>
    </row>
    <row r="5" spans="1:14" x14ac:dyDescent="0.3">
      <c r="A5" s="5" t="s">
        <v>74</v>
      </c>
      <c r="B5" s="1" t="s">
        <v>42</v>
      </c>
      <c r="C5" s="1" t="s">
        <v>5</v>
      </c>
      <c r="D5" s="11">
        <v>45173.302187499998</v>
      </c>
      <c r="E5" s="1" t="s">
        <v>43</v>
      </c>
      <c r="F5" s="1" t="s">
        <v>23</v>
      </c>
      <c r="G5" s="1" t="s">
        <v>24</v>
      </c>
      <c r="H5" s="6" t="s">
        <v>11</v>
      </c>
      <c r="I5" t="str">
        <f t="shared" si="0"/>
        <v xml:space="preserve">Pam </v>
      </c>
      <c r="J5" t="str">
        <f t="shared" si="1"/>
        <v xml:space="preserve"> Beesly</v>
      </c>
      <c r="L5" t="str">
        <v>Data Scientist</v>
      </c>
      <c r="M5" t="b">
        <f t="shared" si="2"/>
        <v>1</v>
      </c>
      <c r="N5" t="str">
        <f t="shared" si="3"/>
        <v>0123551</v>
      </c>
    </row>
    <row r="6" spans="1:14" x14ac:dyDescent="0.3">
      <c r="A6" s="5" t="s">
        <v>75</v>
      </c>
      <c r="B6" s="1" t="s">
        <v>40</v>
      </c>
      <c r="C6" s="1" t="s">
        <v>7</v>
      </c>
      <c r="D6" s="11">
        <v>45248.70857638889</v>
      </c>
      <c r="E6" s="1" t="s">
        <v>41</v>
      </c>
      <c r="F6" s="1" t="s">
        <v>29</v>
      </c>
      <c r="G6" s="1" t="s">
        <v>30</v>
      </c>
      <c r="H6" s="6" t="s">
        <v>10</v>
      </c>
      <c r="I6" t="str">
        <f t="shared" si="0"/>
        <v xml:space="preserve">Jim </v>
      </c>
      <c r="J6" t="str">
        <f t="shared" si="1"/>
        <v xml:space="preserve"> Halpert</v>
      </c>
      <c r="L6" t="str">
        <v>Machine Learning Engineer</v>
      </c>
      <c r="M6" t="b">
        <f t="shared" si="2"/>
        <v>1</v>
      </c>
      <c r="N6" t="str">
        <f t="shared" si="3"/>
        <v>0123552</v>
      </c>
    </row>
    <row r="7" spans="1:14" x14ac:dyDescent="0.3">
      <c r="A7" s="5" t="s">
        <v>76</v>
      </c>
      <c r="B7" s="1" t="s">
        <v>46</v>
      </c>
      <c r="C7" s="1" t="s">
        <v>9</v>
      </c>
      <c r="D7" s="11">
        <v>45302.531921296293</v>
      </c>
      <c r="E7" s="1" t="s">
        <v>47</v>
      </c>
      <c r="F7" s="1" t="s">
        <v>31</v>
      </c>
      <c r="G7" s="1" t="s">
        <v>30</v>
      </c>
      <c r="H7" s="6" t="s">
        <v>15</v>
      </c>
      <c r="I7" t="str">
        <f t="shared" si="0"/>
        <v xml:space="preserve">Ryan </v>
      </c>
      <c r="J7" t="str">
        <f t="shared" si="1"/>
        <v xml:space="preserve"> Howard</v>
      </c>
      <c r="M7" t="b">
        <f t="shared" si="2"/>
        <v>1</v>
      </c>
      <c r="N7" t="str">
        <f t="shared" si="3"/>
        <v>0123553</v>
      </c>
    </row>
    <row r="8" spans="1:14" x14ac:dyDescent="0.3">
      <c r="A8" s="5" t="s">
        <v>77</v>
      </c>
      <c r="B8" s="1" t="s">
        <v>58</v>
      </c>
      <c r="C8" s="1" t="s">
        <v>5</v>
      </c>
      <c r="D8" s="11">
        <v>45354.687881944446</v>
      </c>
      <c r="E8" s="1" t="s">
        <v>59</v>
      </c>
      <c r="F8" s="1" t="s">
        <v>27</v>
      </c>
      <c r="G8" s="1" t="s">
        <v>26</v>
      </c>
      <c r="H8" s="6" t="s">
        <v>6</v>
      </c>
      <c r="I8" t="str">
        <f t="shared" si="0"/>
        <v xml:space="preserve">Kevin </v>
      </c>
      <c r="J8" t="str">
        <f t="shared" si="1"/>
        <v xml:space="preserve"> Malone</v>
      </c>
      <c r="M8" t="b">
        <f t="shared" si="2"/>
        <v>1</v>
      </c>
      <c r="N8" t="str">
        <f t="shared" si="3"/>
        <v>0123554</v>
      </c>
    </row>
    <row r="9" spans="1:14" x14ac:dyDescent="0.3">
      <c r="A9" s="5" t="s">
        <v>78</v>
      </c>
      <c r="B9" s="1" t="s">
        <v>46</v>
      </c>
      <c r="C9" s="1" t="s">
        <v>1</v>
      </c>
      <c r="D9" s="11">
        <v>45408.340810185182</v>
      </c>
      <c r="E9" s="1" t="s">
        <v>47</v>
      </c>
      <c r="F9" s="1" t="s">
        <v>31</v>
      </c>
      <c r="G9" s="1" t="s">
        <v>30</v>
      </c>
      <c r="H9" s="6" t="s">
        <v>15</v>
      </c>
      <c r="I9" t="str">
        <f t="shared" si="0"/>
        <v xml:space="preserve">Ryan </v>
      </c>
      <c r="J9" t="str">
        <f t="shared" si="1"/>
        <v xml:space="preserve"> Howard</v>
      </c>
      <c r="M9" t="b">
        <f t="shared" si="2"/>
        <v>1</v>
      </c>
      <c r="N9" t="str">
        <f t="shared" si="3"/>
        <v>0123555</v>
      </c>
    </row>
    <row r="10" spans="1:14" x14ac:dyDescent="0.3">
      <c r="A10" s="5" t="s">
        <v>79</v>
      </c>
      <c r="B10" s="1" t="s">
        <v>50</v>
      </c>
      <c r="C10" s="1" t="s">
        <v>7</v>
      </c>
      <c r="D10" s="11">
        <v>45458.743333333332</v>
      </c>
      <c r="E10" s="1" t="s">
        <v>51</v>
      </c>
      <c r="F10" s="1" t="s">
        <v>33</v>
      </c>
      <c r="G10" s="1" t="s">
        <v>26</v>
      </c>
      <c r="H10" s="6" t="s">
        <v>18</v>
      </c>
      <c r="I10" t="str">
        <f t="shared" si="0"/>
        <v xml:space="preserve">Stanley </v>
      </c>
      <c r="J10" t="str">
        <f t="shared" si="1"/>
        <v xml:space="preserve"> Hudson</v>
      </c>
      <c r="M10" t="b">
        <f t="shared" si="2"/>
        <v>1</v>
      </c>
      <c r="N10" t="str">
        <f t="shared" si="3"/>
        <v>0123556</v>
      </c>
    </row>
    <row r="11" spans="1:14" x14ac:dyDescent="0.3">
      <c r="A11" s="5" t="s">
        <v>80</v>
      </c>
      <c r="B11" s="1" t="s">
        <v>54</v>
      </c>
      <c r="C11" s="1" t="s">
        <v>12</v>
      </c>
      <c r="D11" s="11">
        <v>45480.608055555553</v>
      </c>
      <c r="E11" s="1" t="s">
        <v>55</v>
      </c>
      <c r="F11" s="1" t="s">
        <v>33</v>
      </c>
      <c r="G11" s="1" t="s">
        <v>32</v>
      </c>
      <c r="H11" s="6" t="s">
        <v>13</v>
      </c>
      <c r="I11" t="str">
        <f t="shared" si="0"/>
        <v xml:space="preserve">Angela </v>
      </c>
      <c r="J11" t="str">
        <f t="shared" si="1"/>
        <v xml:space="preserve"> Martin</v>
      </c>
      <c r="M11" t="b">
        <f t="shared" si="2"/>
        <v>1</v>
      </c>
      <c r="N11" t="str">
        <f t="shared" si="3"/>
        <v>0123557</v>
      </c>
    </row>
    <row r="12" spans="1:14" x14ac:dyDescent="0.3">
      <c r="A12" s="5" t="s">
        <v>81</v>
      </c>
      <c r="B12" s="1" t="s">
        <v>44</v>
      </c>
      <c r="C12" s="1" t="s">
        <v>7</v>
      </c>
      <c r="D12" s="11">
        <v>45455.284930555557</v>
      </c>
      <c r="E12" s="1" t="s">
        <v>45</v>
      </c>
      <c r="F12" s="1" t="s">
        <v>33</v>
      </c>
      <c r="G12" s="1" t="s">
        <v>34</v>
      </c>
      <c r="H12" s="6" t="s">
        <v>17</v>
      </c>
      <c r="I12" t="str">
        <f t="shared" si="0"/>
        <v xml:space="preserve">Dwight </v>
      </c>
      <c r="J12" t="str">
        <f t="shared" si="1"/>
        <v xml:space="preserve"> Schrute</v>
      </c>
      <c r="M12" t="b">
        <f t="shared" si="2"/>
        <v>1</v>
      </c>
      <c r="N12" t="str">
        <f t="shared" si="3"/>
        <v>0123558</v>
      </c>
    </row>
    <row r="13" spans="1:14" x14ac:dyDescent="0.3">
      <c r="A13" s="5" t="s">
        <v>82</v>
      </c>
      <c r="B13" s="1" t="s">
        <v>56</v>
      </c>
      <c r="C13" s="1" t="s">
        <v>9</v>
      </c>
      <c r="D13" s="11">
        <v>44951.552141203705</v>
      </c>
      <c r="E13" s="1" t="s">
        <v>57</v>
      </c>
      <c r="F13" s="1" t="s">
        <v>35</v>
      </c>
      <c r="G13" s="1" t="s">
        <v>26</v>
      </c>
      <c r="H13" s="6" t="s">
        <v>16</v>
      </c>
      <c r="I13" t="str">
        <f t="shared" si="0"/>
        <v xml:space="preserve">Oscar </v>
      </c>
      <c r="J13" t="str">
        <f t="shared" si="1"/>
        <v xml:space="preserve"> Martinez</v>
      </c>
      <c r="M13" t="b">
        <f t="shared" si="2"/>
        <v>1</v>
      </c>
      <c r="N13" t="str">
        <f t="shared" si="3"/>
        <v>0123559</v>
      </c>
    </row>
    <row r="14" spans="1:14" x14ac:dyDescent="0.3">
      <c r="A14" s="5" t="s">
        <v>83</v>
      </c>
      <c r="B14" s="1" t="s">
        <v>46</v>
      </c>
      <c r="C14" s="1" t="s">
        <v>12</v>
      </c>
      <c r="D14" s="11">
        <v>45002.490034722221</v>
      </c>
      <c r="E14" s="1" t="s">
        <v>47</v>
      </c>
      <c r="F14" s="1" t="s">
        <v>31</v>
      </c>
      <c r="G14" s="1" t="s">
        <v>30</v>
      </c>
      <c r="H14" s="6" t="s">
        <v>15</v>
      </c>
      <c r="I14" t="str">
        <f t="shared" si="0"/>
        <v xml:space="preserve">Ryan </v>
      </c>
      <c r="J14" t="str">
        <f t="shared" si="1"/>
        <v xml:space="preserve"> Howard</v>
      </c>
      <c r="M14" t="b">
        <f t="shared" si="2"/>
        <v>1</v>
      </c>
      <c r="N14" t="str">
        <f t="shared" si="3"/>
        <v>0123560</v>
      </c>
    </row>
    <row r="15" spans="1:14" x14ac:dyDescent="0.3">
      <c r="A15" s="5" t="s">
        <v>84</v>
      </c>
      <c r="B15" s="1" t="s">
        <v>52</v>
      </c>
      <c r="C15" s="1" t="s">
        <v>9</v>
      </c>
      <c r="D15" s="11">
        <v>45078.417256944442</v>
      </c>
      <c r="E15" s="1" t="s">
        <v>53</v>
      </c>
      <c r="F15" s="1" t="s">
        <v>33</v>
      </c>
      <c r="G15" s="1" t="s">
        <v>26</v>
      </c>
      <c r="H15" s="6" t="s">
        <v>19</v>
      </c>
      <c r="I15" t="str">
        <f t="shared" si="0"/>
        <v xml:space="preserve">Phyllis </v>
      </c>
      <c r="J15" t="str">
        <f t="shared" si="1"/>
        <v xml:space="preserve"> Vance</v>
      </c>
      <c r="M15" t="b">
        <f t="shared" si="2"/>
        <v>1</v>
      </c>
      <c r="N15" t="str">
        <f t="shared" si="3"/>
        <v>0123561</v>
      </c>
    </row>
    <row r="16" spans="1:14" x14ac:dyDescent="0.3">
      <c r="A16" s="5" t="s">
        <v>85</v>
      </c>
      <c r="B16" s="1" t="s">
        <v>60</v>
      </c>
      <c r="C16" s="1" t="s">
        <v>9</v>
      </c>
      <c r="D16" s="11">
        <v>45168.729328703703</v>
      </c>
      <c r="E16" s="1" t="s">
        <v>61</v>
      </c>
      <c r="F16" s="1" t="s">
        <v>28</v>
      </c>
      <c r="G16" s="1" t="s">
        <v>26</v>
      </c>
      <c r="H16" s="6" t="s">
        <v>20</v>
      </c>
      <c r="I16" t="str">
        <f t="shared" si="0"/>
        <v xml:space="preserve">Meredith </v>
      </c>
      <c r="J16" t="str">
        <f t="shared" si="1"/>
        <v xml:space="preserve"> Palmer</v>
      </c>
      <c r="M16" t="b">
        <f t="shared" si="2"/>
        <v>1</v>
      </c>
      <c r="N16" t="str">
        <f t="shared" si="3"/>
        <v>0123562</v>
      </c>
    </row>
    <row r="17" spans="1:14" x14ac:dyDescent="0.3">
      <c r="A17" s="5" t="s">
        <v>86</v>
      </c>
      <c r="B17" s="1" t="s">
        <v>38</v>
      </c>
      <c r="C17" s="1" t="s">
        <v>7</v>
      </c>
      <c r="D17" s="11">
        <v>45218.319780092592</v>
      </c>
      <c r="E17" s="1" t="s">
        <v>39</v>
      </c>
      <c r="F17" s="1" t="s">
        <v>25</v>
      </c>
      <c r="G17" s="1" t="s">
        <v>37</v>
      </c>
      <c r="H17" s="6" t="s">
        <v>14</v>
      </c>
      <c r="I17" t="str">
        <f t="shared" si="0"/>
        <v xml:space="preserve">Michael </v>
      </c>
      <c r="J17" t="str">
        <f t="shared" si="1"/>
        <v xml:space="preserve"> Scott</v>
      </c>
      <c r="M17" t="b">
        <f t="shared" si="2"/>
        <v>1</v>
      </c>
      <c r="N17" t="str">
        <f t="shared" si="3"/>
        <v>0123563</v>
      </c>
    </row>
    <row r="18" spans="1:14" x14ac:dyDescent="0.3">
      <c r="A18" s="5" t="s">
        <v>87</v>
      </c>
      <c r="B18" s="1" t="s">
        <v>40</v>
      </c>
      <c r="C18" s="1" t="s">
        <v>12</v>
      </c>
      <c r="D18" s="11">
        <v>45350.719236111108</v>
      </c>
      <c r="E18" s="1" t="s">
        <v>41</v>
      </c>
      <c r="F18" s="1" t="s">
        <v>29</v>
      </c>
      <c r="G18" s="1" t="s">
        <v>30</v>
      </c>
      <c r="H18" s="6" t="s">
        <v>10</v>
      </c>
      <c r="I18" t="str">
        <f t="shared" si="0"/>
        <v xml:space="preserve">Jim </v>
      </c>
      <c r="J18" t="str">
        <f t="shared" si="1"/>
        <v xml:space="preserve"> Halpert</v>
      </c>
      <c r="M18" t="b">
        <f t="shared" si="2"/>
        <v>1</v>
      </c>
      <c r="N18" t="str">
        <f t="shared" si="3"/>
        <v>0123564</v>
      </c>
    </row>
    <row r="19" spans="1:14" x14ac:dyDescent="0.3">
      <c r="A19" s="5" t="s">
        <v>88</v>
      </c>
      <c r="B19" s="1" t="s">
        <v>48</v>
      </c>
      <c r="C19" s="1" t="s">
        <v>7</v>
      </c>
      <c r="D19" s="11">
        <v>45418.726354166669</v>
      </c>
      <c r="E19" s="1" t="s">
        <v>49</v>
      </c>
      <c r="F19" s="1" t="s">
        <v>28</v>
      </c>
      <c r="G19" s="1" t="s">
        <v>36</v>
      </c>
      <c r="H19" s="6" t="s">
        <v>8</v>
      </c>
      <c r="I19" t="str">
        <f t="shared" si="0"/>
        <v xml:space="preserve">Kelly </v>
      </c>
      <c r="J19" t="str">
        <f t="shared" si="1"/>
        <v xml:space="preserve"> Kapoor</v>
      </c>
      <c r="M19" t="b">
        <f t="shared" si="2"/>
        <v>1</v>
      </c>
      <c r="N19" t="str">
        <f t="shared" si="3"/>
        <v>0123565</v>
      </c>
    </row>
    <row r="20" spans="1:14" x14ac:dyDescent="0.3">
      <c r="A20" s="5" t="s">
        <v>89</v>
      </c>
      <c r="B20" s="1" t="s">
        <v>40</v>
      </c>
      <c r="C20" s="1" t="s">
        <v>9</v>
      </c>
      <c r="D20" s="11">
        <v>45496.291701388887</v>
      </c>
      <c r="E20" s="1" t="s">
        <v>41</v>
      </c>
      <c r="F20" s="1" t="s">
        <v>29</v>
      </c>
      <c r="G20" s="1" t="s">
        <v>30</v>
      </c>
      <c r="H20" s="6" t="s">
        <v>10</v>
      </c>
      <c r="I20" t="str">
        <f t="shared" si="0"/>
        <v xml:space="preserve">Jim </v>
      </c>
      <c r="J20" t="str">
        <f t="shared" si="1"/>
        <v xml:space="preserve"> Halpert</v>
      </c>
      <c r="M20" t="b">
        <f t="shared" si="2"/>
        <v>1</v>
      </c>
      <c r="N20" t="str">
        <f t="shared" si="3"/>
        <v>0123566</v>
      </c>
    </row>
    <row r="21" spans="1:14" ht="15" thickBot="1" x14ac:dyDescent="0.35">
      <c r="A21" s="5" t="s">
        <v>90</v>
      </c>
      <c r="B21" s="7" t="s">
        <v>40</v>
      </c>
      <c r="C21" s="7" t="s">
        <v>9</v>
      </c>
      <c r="D21" s="12">
        <v>45422.739884259259</v>
      </c>
      <c r="E21" s="7" t="s">
        <v>41</v>
      </c>
      <c r="F21" s="7" t="s">
        <v>29</v>
      </c>
      <c r="G21" s="7" t="s">
        <v>36</v>
      </c>
      <c r="H21" s="8" t="s">
        <v>10</v>
      </c>
      <c r="I21" t="str">
        <f t="shared" si="0"/>
        <v xml:space="preserve">Jim </v>
      </c>
      <c r="J21" t="str">
        <f t="shared" si="1"/>
        <v xml:space="preserve"> Halpert</v>
      </c>
      <c r="M21" t="b">
        <f t="shared" si="2"/>
        <v>1</v>
      </c>
      <c r="N21" t="str">
        <f t="shared" si="3"/>
        <v>0123567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3CB36-69AF-4B27-BCC8-FDB353A4DE72}">
  <dimension ref="A1:L21"/>
  <sheetViews>
    <sheetView zoomScaleNormal="100" workbookViewId="0"/>
  </sheetViews>
  <sheetFormatPr baseColWidth="10" defaultColWidth="8.88671875" defaultRowHeight="14.4" x14ac:dyDescent="0.3"/>
  <cols>
    <col min="1" max="1" width="14.21875" bestFit="1" customWidth="1"/>
    <col min="2" max="2" width="23.44140625" bestFit="1" customWidth="1"/>
    <col min="3" max="3" width="14" style="9" customWidth="1"/>
    <col min="4" max="4" width="16.109375" customWidth="1"/>
    <col min="5" max="5" width="26.109375" customWidth="1"/>
    <col min="6" max="6" width="22" bestFit="1" customWidth="1"/>
    <col min="7" max="7" width="37" customWidth="1"/>
    <col min="8" max="8" width="40" hidden="1" customWidth="1"/>
    <col min="9" max="9" width="11.5546875" hidden="1" customWidth="1"/>
    <col min="10" max="10" width="9.109375" customWidth="1"/>
  </cols>
  <sheetData>
    <row r="1" spans="1:12" x14ac:dyDescent="0.3">
      <c r="A1" s="2" t="s">
        <v>69</v>
      </c>
      <c r="B1" s="3" t="s">
        <v>2</v>
      </c>
      <c r="C1" s="3" t="s">
        <v>3</v>
      </c>
      <c r="D1" s="10" t="s">
        <v>92</v>
      </c>
      <c r="E1" s="3" t="s">
        <v>0</v>
      </c>
      <c r="F1" s="3" t="s">
        <v>21</v>
      </c>
      <c r="G1" s="3" t="s">
        <v>22</v>
      </c>
      <c r="H1" s="4" t="s">
        <v>4</v>
      </c>
      <c r="J1" s="17" t="s">
        <v>64</v>
      </c>
      <c r="K1" s="17"/>
      <c r="L1" s="17"/>
    </row>
    <row r="2" spans="1:12" x14ac:dyDescent="0.3">
      <c r="A2" s="5" t="s">
        <v>72</v>
      </c>
      <c r="B2" s="1" t="s">
        <v>42</v>
      </c>
      <c r="C2" s="1" t="s">
        <v>1</v>
      </c>
      <c r="D2" s="11">
        <v>44971.640451388892</v>
      </c>
      <c r="E2" s="1" t="s">
        <v>43</v>
      </c>
      <c r="F2" s="1" t="s">
        <v>23</v>
      </c>
      <c r="G2" s="1" t="s">
        <v>24</v>
      </c>
      <c r="H2" s="6" t="s">
        <v>11</v>
      </c>
      <c r="J2">
        <f>FIND(", ",G2)+LEN(", ")</f>
        <v>11</v>
      </c>
      <c r="K2">
        <f>FIND(", ",G2,J2)</f>
        <v>13</v>
      </c>
      <c r="L2" t="str">
        <f>MID(G2,J2,K2-J2)</f>
        <v>CA</v>
      </c>
    </row>
    <row r="3" spans="1:12" x14ac:dyDescent="0.3">
      <c r="A3" s="5" t="s">
        <v>71</v>
      </c>
      <c r="B3" s="1" t="s">
        <v>38</v>
      </c>
      <c r="C3" s="1" t="s">
        <v>5</v>
      </c>
      <c r="D3" s="11">
        <v>45055.40662037037</v>
      </c>
      <c r="E3" s="1" t="s">
        <v>39</v>
      </c>
      <c r="F3" s="1" t="s">
        <v>25</v>
      </c>
      <c r="G3" s="1" t="s">
        <v>26</v>
      </c>
      <c r="H3" s="6" t="s">
        <v>14</v>
      </c>
      <c r="J3">
        <f t="shared" ref="J3:J21" si="0">FIND(", ",G3)+LEN(", ")</f>
        <v>10</v>
      </c>
      <c r="K3">
        <f t="shared" ref="K3:K21" si="1">FIND(", ",G3,J3)</f>
        <v>12</v>
      </c>
      <c r="L3" t="str">
        <f t="shared" ref="L3:L21" si="2">MID(G3,J3,K3-J3)</f>
        <v>IL</v>
      </c>
    </row>
    <row r="4" spans="1:12" x14ac:dyDescent="0.3">
      <c r="A4" s="5" t="s">
        <v>73</v>
      </c>
      <c r="B4" s="1" t="s">
        <v>58</v>
      </c>
      <c r="C4" s="1" t="s">
        <v>12</v>
      </c>
      <c r="D4" s="11">
        <v>45128.729710648149</v>
      </c>
      <c r="E4" s="1" t="s">
        <v>59</v>
      </c>
      <c r="F4" s="1" t="s">
        <v>27</v>
      </c>
      <c r="G4" s="1" t="s">
        <v>26</v>
      </c>
      <c r="H4" s="6" t="s">
        <v>6</v>
      </c>
      <c r="J4">
        <f t="shared" si="0"/>
        <v>10</v>
      </c>
      <c r="K4">
        <f t="shared" si="1"/>
        <v>12</v>
      </c>
      <c r="L4" t="str">
        <f t="shared" si="2"/>
        <v>IL</v>
      </c>
    </row>
    <row r="5" spans="1:12" x14ac:dyDescent="0.3">
      <c r="A5" s="5" t="s">
        <v>74</v>
      </c>
      <c r="B5" s="1" t="s">
        <v>42</v>
      </c>
      <c r="C5" s="1" t="s">
        <v>5</v>
      </c>
      <c r="D5" s="11">
        <v>45173.302187499998</v>
      </c>
      <c r="E5" s="1" t="s">
        <v>43</v>
      </c>
      <c r="F5" s="1" t="s">
        <v>23</v>
      </c>
      <c r="G5" s="1" t="s">
        <v>24</v>
      </c>
      <c r="H5" s="6" t="s">
        <v>11</v>
      </c>
      <c r="J5">
        <f t="shared" si="0"/>
        <v>11</v>
      </c>
      <c r="K5">
        <f t="shared" si="1"/>
        <v>13</v>
      </c>
      <c r="L5" t="str">
        <f t="shared" si="2"/>
        <v>CA</v>
      </c>
    </row>
    <row r="6" spans="1:12" x14ac:dyDescent="0.3">
      <c r="A6" s="5" t="s">
        <v>75</v>
      </c>
      <c r="B6" s="1" t="s">
        <v>40</v>
      </c>
      <c r="C6" s="1" t="s">
        <v>7</v>
      </c>
      <c r="D6" s="11">
        <v>45248.70857638889</v>
      </c>
      <c r="E6" s="1" t="s">
        <v>41</v>
      </c>
      <c r="F6" s="1" t="s">
        <v>29</v>
      </c>
      <c r="G6" s="1" t="s">
        <v>30</v>
      </c>
      <c r="H6" s="6" t="s">
        <v>10</v>
      </c>
      <c r="J6">
        <f t="shared" si="0"/>
        <v>15</v>
      </c>
      <c r="K6">
        <f t="shared" si="1"/>
        <v>17</v>
      </c>
      <c r="L6" t="str">
        <f t="shared" si="2"/>
        <v>PA</v>
      </c>
    </row>
    <row r="7" spans="1:12" x14ac:dyDescent="0.3">
      <c r="A7" s="5" t="s">
        <v>76</v>
      </c>
      <c r="B7" s="1" t="s">
        <v>46</v>
      </c>
      <c r="C7" s="1" t="s">
        <v>9</v>
      </c>
      <c r="D7" s="11">
        <v>45302.531921296293</v>
      </c>
      <c r="E7" s="1" t="s">
        <v>47</v>
      </c>
      <c r="F7" s="1" t="s">
        <v>31</v>
      </c>
      <c r="G7" s="1" t="s">
        <v>30</v>
      </c>
      <c r="H7" s="6" t="s">
        <v>15</v>
      </c>
      <c r="J7">
        <f t="shared" si="0"/>
        <v>15</v>
      </c>
      <c r="K7">
        <f t="shared" si="1"/>
        <v>17</v>
      </c>
      <c r="L7" t="str">
        <f t="shared" si="2"/>
        <v>PA</v>
      </c>
    </row>
    <row r="8" spans="1:12" x14ac:dyDescent="0.3">
      <c r="A8" s="5" t="s">
        <v>77</v>
      </c>
      <c r="B8" s="1" t="s">
        <v>58</v>
      </c>
      <c r="C8" s="1" t="s">
        <v>5</v>
      </c>
      <c r="D8" s="11">
        <v>45354.687881944446</v>
      </c>
      <c r="E8" s="1" t="s">
        <v>59</v>
      </c>
      <c r="F8" s="1" t="s">
        <v>27</v>
      </c>
      <c r="G8" s="1" t="s">
        <v>26</v>
      </c>
      <c r="H8" s="6" t="s">
        <v>6</v>
      </c>
      <c r="J8">
        <f t="shared" si="0"/>
        <v>10</v>
      </c>
      <c r="K8">
        <f t="shared" si="1"/>
        <v>12</v>
      </c>
      <c r="L8" t="str">
        <f t="shared" si="2"/>
        <v>IL</v>
      </c>
    </row>
    <row r="9" spans="1:12" x14ac:dyDescent="0.3">
      <c r="A9" s="5" t="s">
        <v>78</v>
      </c>
      <c r="B9" s="1" t="s">
        <v>46</v>
      </c>
      <c r="C9" s="1" t="s">
        <v>1</v>
      </c>
      <c r="D9" s="11">
        <v>45408.340810185182</v>
      </c>
      <c r="E9" s="1" t="s">
        <v>47</v>
      </c>
      <c r="F9" s="1" t="s">
        <v>31</v>
      </c>
      <c r="G9" s="1" t="s">
        <v>30</v>
      </c>
      <c r="H9" s="6" t="s">
        <v>15</v>
      </c>
      <c r="J9">
        <f t="shared" si="0"/>
        <v>15</v>
      </c>
      <c r="K9">
        <f t="shared" si="1"/>
        <v>17</v>
      </c>
      <c r="L9" t="str">
        <f t="shared" si="2"/>
        <v>PA</v>
      </c>
    </row>
    <row r="10" spans="1:12" x14ac:dyDescent="0.3">
      <c r="A10" s="5" t="s">
        <v>79</v>
      </c>
      <c r="B10" s="1" t="s">
        <v>50</v>
      </c>
      <c r="C10" s="1" t="s">
        <v>7</v>
      </c>
      <c r="D10" s="11">
        <v>45458.743333333332</v>
      </c>
      <c r="E10" s="1" t="s">
        <v>51</v>
      </c>
      <c r="F10" s="1" t="s">
        <v>33</v>
      </c>
      <c r="G10" s="1" t="s">
        <v>26</v>
      </c>
      <c r="H10" s="6" t="s">
        <v>18</v>
      </c>
      <c r="J10">
        <f t="shared" si="0"/>
        <v>10</v>
      </c>
      <c r="K10">
        <f t="shared" si="1"/>
        <v>12</v>
      </c>
      <c r="L10" t="str">
        <f t="shared" si="2"/>
        <v>IL</v>
      </c>
    </row>
    <row r="11" spans="1:12" x14ac:dyDescent="0.3">
      <c r="A11" s="5" t="s">
        <v>80</v>
      </c>
      <c r="B11" s="1" t="s">
        <v>54</v>
      </c>
      <c r="C11" s="1" t="s">
        <v>12</v>
      </c>
      <c r="D11" s="11">
        <v>45480.608055555553</v>
      </c>
      <c r="E11" s="1" t="s">
        <v>55</v>
      </c>
      <c r="F11" s="1" t="s">
        <v>33</v>
      </c>
      <c r="G11" s="1" t="s">
        <v>32</v>
      </c>
      <c r="H11" s="6" t="s">
        <v>13</v>
      </c>
      <c r="J11">
        <f t="shared" si="0"/>
        <v>14</v>
      </c>
      <c r="K11">
        <f t="shared" si="1"/>
        <v>16</v>
      </c>
      <c r="L11" t="str">
        <f t="shared" si="2"/>
        <v>CA</v>
      </c>
    </row>
    <row r="12" spans="1:12" x14ac:dyDescent="0.3">
      <c r="A12" s="5" t="s">
        <v>81</v>
      </c>
      <c r="B12" s="1" t="s">
        <v>44</v>
      </c>
      <c r="C12" s="1" t="s">
        <v>7</v>
      </c>
      <c r="D12" s="11">
        <v>45455.284930555557</v>
      </c>
      <c r="E12" s="1" t="s">
        <v>45</v>
      </c>
      <c r="F12" s="1" t="s">
        <v>33</v>
      </c>
      <c r="G12" s="1" t="s">
        <v>34</v>
      </c>
      <c r="H12" s="6" t="s">
        <v>17</v>
      </c>
      <c r="J12">
        <f t="shared" si="0"/>
        <v>12</v>
      </c>
      <c r="K12">
        <f t="shared" si="1"/>
        <v>14</v>
      </c>
      <c r="L12" t="str">
        <f t="shared" si="2"/>
        <v>CA</v>
      </c>
    </row>
    <row r="13" spans="1:12" x14ac:dyDescent="0.3">
      <c r="A13" s="5" t="s">
        <v>82</v>
      </c>
      <c r="B13" s="1" t="s">
        <v>56</v>
      </c>
      <c r="C13" s="1" t="s">
        <v>9</v>
      </c>
      <c r="D13" s="11">
        <v>44951.552141203705</v>
      </c>
      <c r="E13" s="1" t="s">
        <v>57</v>
      </c>
      <c r="F13" s="1" t="s">
        <v>35</v>
      </c>
      <c r="G13" s="1" t="s">
        <v>26</v>
      </c>
      <c r="H13" s="6" t="s">
        <v>16</v>
      </c>
      <c r="J13">
        <f t="shared" si="0"/>
        <v>10</v>
      </c>
      <c r="K13">
        <f t="shared" si="1"/>
        <v>12</v>
      </c>
      <c r="L13" t="str">
        <f t="shared" si="2"/>
        <v>IL</v>
      </c>
    </row>
    <row r="14" spans="1:12" x14ac:dyDescent="0.3">
      <c r="A14" s="5" t="s">
        <v>83</v>
      </c>
      <c r="B14" s="1" t="s">
        <v>46</v>
      </c>
      <c r="C14" s="1" t="s">
        <v>12</v>
      </c>
      <c r="D14" s="11">
        <v>45002.490034722221</v>
      </c>
      <c r="E14" s="1" t="s">
        <v>47</v>
      </c>
      <c r="F14" s="1" t="s">
        <v>31</v>
      </c>
      <c r="G14" s="1" t="s">
        <v>30</v>
      </c>
      <c r="H14" s="6" t="s">
        <v>15</v>
      </c>
      <c r="J14">
        <f t="shared" si="0"/>
        <v>15</v>
      </c>
      <c r="K14">
        <f t="shared" si="1"/>
        <v>17</v>
      </c>
      <c r="L14" t="str">
        <f t="shared" si="2"/>
        <v>PA</v>
      </c>
    </row>
    <row r="15" spans="1:12" x14ac:dyDescent="0.3">
      <c r="A15" s="5" t="s">
        <v>84</v>
      </c>
      <c r="B15" s="1" t="s">
        <v>52</v>
      </c>
      <c r="C15" s="1" t="s">
        <v>9</v>
      </c>
      <c r="D15" s="11">
        <v>45078.417256944442</v>
      </c>
      <c r="E15" s="1" t="s">
        <v>53</v>
      </c>
      <c r="F15" s="1" t="s">
        <v>33</v>
      </c>
      <c r="G15" s="1" t="s">
        <v>26</v>
      </c>
      <c r="H15" s="6" t="s">
        <v>19</v>
      </c>
      <c r="J15">
        <f t="shared" si="0"/>
        <v>10</v>
      </c>
      <c r="K15">
        <f t="shared" si="1"/>
        <v>12</v>
      </c>
      <c r="L15" t="str">
        <f t="shared" si="2"/>
        <v>IL</v>
      </c>
    </row>
    <row r="16" spans="1:12" x14ac:dyDescent="0.3">
      <c r="A16" s="5" t="s">
        <v>85</v>
      </c>
      <c r="B16" s="1" t="s">
        <v>60</v>
      </c>
      <c r="C16" s="1" t="s">
        <v>9</v>
      </c>
      <c r="D16" s="11">
        <v>45168.729328703703</v>
      </c>
      <c r="E16" s="1" t="s">
        <v>61</v>
      </c>
      <c r="F16" s="1" t="s">
        <v>28</v>
      </c>
      <c r="G16" s="1" t="s">
        <v>26</v>
      </c>
      <c r="H16" s="6" t="s">
        <v>20</v>
      </c>
      <c r="J16">
        <f t="shared" si="0"/>
        <v>10</v>
      </c>
      <c r="K16">
        <f t="shared" si="1"/>
        <v>12</v>
      </c>
      <c r="L16" t="str">
        <f t="shared" si="2"/>
        <v>IL</v>
      </c>
    </row>
    <row r="17" spans="1:12" x14ac:dyDescent="0.3">
      <c r="A17" s="5" t="s">
        <v>86</v>
      </c>
      <c r="B17" s="1" t="s">
        <v>38</v>
      </c>
      <c r="C17" s="1" t="s">
        <v>7</v>
      </c>
      <c r="D17" s="11">
        <v>45218.319780092592</v>
      </c>
      <c r="E17" s="1" t="s">
        <v>39</v>
      </c>
      <c r="F17" s="1" t="s">
        <v>25</v>
      </c>
      <c r="G17" s="1" t="s">
        <v>37</v>
      </c>
      <c r="H17" s="6" t="s">
        <v>14</v>
      </c>
      <c r="J17">
        <f t="shared" si="0"/>
        <v>10</v>
      </c>
      <c r="K17">
        <f t="shared" si="1"/>
        <v>12</v>
      </c>
      <c r="L17" t="str">
        <f t="shared" si="2"/>
        <v>IL</v>
      </c>
    </row>
    <row r="18" spans="1:12" x14ac:dyDescent="0.3">
      <c r="A18" s="5" t="s">
        <v>87</v>
      </c>
      <c r="B18" s="1" t="s">
        <v>40</v>
      </c>
      <c r="C18" s="1" t="s">
        <v>12</v>
      </c>
      <c r="D18" s="11">
        <v>45350.719236111108</v>
      </c>
      <c r="E18" s="1" t="s">
        <v>41</v>
      </c>
      <c r="F18" s="1" t="s">
        <v>29</v>
      </c>
      <c r="G18" s="1" t="s">
        <v>30</v>
      </c>
      <c r="H18" s="6" t="s">
        <v>10</v>
      </c>
      <c r="J18">
        <f t="shared" si="0"/>
        <v>15</v>
      </c>
      <c r="K18">
        <f t="shared" si="1"/>
        <v>17</v>
      </c>
      <c r="L18" t="str">
        <f t="shared" si="2"/>
        <v>PA</v>
      </c>
    </row>
    <row r="19" spans="1:12" x14ac:dyDescent="0.3">
      <c r="A19" s="5" t="s">
        <v>88</v>
      </c>
      <c r="B19" s="1" t="s">
        <v>48</v>
      </c>
      <c r="C19" s="1" t="s">
        <v>7</v>
      </c>
      <c r="D19" s="11">
        <v>45418.726354166669</v>
      </c>
      <c r="E19" s="1" t="s">
        <v>49</v>
      </c>
      <c r="F19" s="1" t="s">
        <v>28</v>
      </c>
      <c r="G19" s="1" t="s">
        <v>36</v>
      </c>
      <c r="H19" s="6" t="s">
        <v>8</v>
      </c>
      <c r="J19">
        <f t="shared" si="0"/>
        <v>11</v>
      </c>
      <c r="K19">
        <f t="shared" si="1"/>
        <v>13</v>
      </c>
      <c r="L19" t="str">
        <f t="shared" si="2"/>
        <v>NY</v>
      </c>
    </row>
    <row r="20" spans="1:12" x14ac:dyDescent="0.3">
      <c r="A20" s="5" t="s">
        <v>89</v>
      </c>
      <c r="B20" s="1" t="s">
        <v>40</v>
      </c>
      <c r="C20" s="1" t="s">
        <v>9</v>
      </c>
      <c r="D20" s="11">
        <v>45496.291701388887</v>
      </c>
      <c r="E20" s="1" t="s">
        <v>41</v>
      </c>
      <c r="F20" s="1" t="s">
        <v>29</v>
      </c>
      <c r="G20" s="1" t="s">
        <v>30</v>
      </c>
      <c r="H20" s="6" t="s">
        <v>10</v>
      </c>
      <c r="J20">
        <f t="shared" si="0"/>
        <v>15</v>
      </c>
      <c r="K20">
        <f t="shared" si="1"/>
        <v>17</v>
      </c>
      <c r="L20" t="str">
        <f t="shared" si="2"/>
        <v>PA</v>
      </c>
    </row>
    <row r="21" spans="1:12" ht="15" thickBot="1" x14ac:dyDescent="0.35">
      <c r="A21" s="5" t="s">
        <v>90</v>
      </c>
      <c r="B21" s="7" t="s">
        <v>40</v>
      </c>
      <c r="C21" s="7" t="s">
        <v>9</v>
      </c>
      <c r="D21" s="12">
        <v>45422.739884259259</v>
      </c>
      <c r="E21" s="7" t="s">
        <v>41</v>
      </c>
      <c r="F21" s="7" t="s">
        <v>29</v>
      </c>
      <c r="G21" s="7" t="s">
        <v>36</v>
      </c>
      <c r="H21" s="8" t="s">
        <v>10</v>
      </c>
      <c r="J21">
        <f t="shared" si="0"/>
        <v>11</v>
      </c>
      <c r="K21">
        <f t="shared" si="1"/>
        <v>13</v>
      </c>
      <c r="L21" t="str">
        <f t="shared" si="2"/>
        <v>NY</v>
      </c>
    </row>
  </sheetData>
  <mergeCells count="1">
    <mergeCell ref="J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89AE4-586B-4DA1-B069-1172780CDADC}">
  <dimension ref="A2:BV26"/>
  <sheetViews>
    <sheetView tabSelected="1" topLeftCell="A4" zoomScale="120" zoomScaleNormal="120" workbookViewId="0">
      <selection activeCell="O17" sqref="O17"/>
    </sheetView>
  </sheetViews>
  <sheetFormatPr baseColWidth="10" defaultColWidth="8.88671875" defaultRowHeight="14.4" x14ac:dyDescent="0.3"/>
  <cols>
    <col min="1" max="1" width="24.44140625" customWidth="1"/>
    <col min="2" max="2" width="18.33203125" bestFit="1" customWidth="1"/>
  </cols>
  <sheetData>
    <row r="2" spans="1:74" x14ac:dyDescent="0.3">
      <c r="A2" s="15" t="s">
        <v>94</v>
      </c>
      <c r="B2" s="16"/>
    </row>
    <row r="3" spans="1:74" x14ac:dyDescent="0.3">
      <c r="A3" t="str">
        <f>_xlfn.TEXTJOIN(", ",TRUE,Data!H2:H21)</f>
        <v>Kafka, DataBricks, Spark, Python, GCP, Power BI, GCP, Airflow, Hadoop, R, Azure, Java, SQL, DataBricks, Kafka, DataBricks, Spark, Python, GCP, DataBricks, Hadoop, Java, Snowflake, Airflow, DataBricks, Azure, Java, SQL, DataBricks, Snowflake, Airflow, DataBricks, Scala, Azure, R, Kafka, Snowflake, Excel, Scala, Excel, Power BI, R, Scala, R, Hadoop, Power BI, SQL, Snowflake, Airflow, DataBricks, Java, Scala, R, DataBricks, Azure, Scala, Power BI, GCP, Airflow, Hadoop, R, DataBricks, Hadoop, Java, Snowflake, Power BI, Tableau, Airflow, SQL, DataBricks, Hadoop, Java, DataBricks, Hadoop, Java</v>
      </c>
    </row>
    <row r="5" spans="1:74" x14ac:dyDescent="0.3">
      <c r="A5" s="15" t="s">
        <v>67</v>
      </c>
      <c r="B5" s="16"/>
    </row>
    <row r="6" spans="1:74" x14ac:dyDescent="0.3">
      <c r="A6">
        <f>FIND(",",$A$3)</f>
        <v>6</v>
      </c>
      <c r="B6">
        <f>FIND(",",$A3,A6+LEN(", "))</f>
        <v>18</v>
      </c>
      <c r="C6">
        <f>FIND(",",$A3,B6+LEN(", "))</f>
        <v>25</v>
      </c>
      <c r="D6">
        <f t="shared" ref="D6:E6" si="0">FIND(",",$A3,C6+LEN(", "))</f>
        <v>33</v>
      </c>
      <c r="E6">
        <f t="shared" si="0"/>
        <v>38</v>
      </c>
      <c r="F6">
        <f t="shared" ref="F6:AL6" si="1">FIND(",",$A3,E6+2)</f>
        <v>48</v>
      </c>
      <c r="G6">
        <f>FIND(",",$A3,F6+2)</f>
        <v>53</v>
      </c>
      <c r="H6">
        <f t="shared" si="1"/>
        <v>62</v>
      </c>
      <c r="I6">
        <f t="shared" si="1"/>
        <v>70</v>
      </c>
      <c r="J6">
        <f t="shared" si="1"/>
        <v>73</v>
      </c>
      <c r="K6">
        <f t="shared" si="1"/>
        <v>80</v>
      </c>
      <c r="L6">
        <f t="shared" si="1"/>
        <v>86</v>
      </c>
      <c r="M6">
        <f t="shared" si="1"/>
        <v>91</v>
      </c>
      <c r="N6">
        <f t="shared" si="1"/>
        <v>103</v>
      </c>
      <c r="O6">
        <f t="shared" si="1"/>
        <v>110</v>
      </c>
      <c r="P6">
        <f t="shared" si="1"/>
        <v>122</v>
      </c>
      <c r="Q6">
        <f t="shared" si="1"/>
        <v>129</v>
      </c>
      <c r="R6">
        <f t="shared" si="1"/>
        <v>137</v>
      </c>
      <c r="S6">
        <f t="shared" si="1"/>
        <v>142</v>
      </c>
      <c r="T6">
        <f t="shared" si="1"/>
        <v>154</v>
      </c>
      <c r="U6">
        <f t="shared" si="1"/>
        <v>162</v>
      </c>
      <c r="V6">
        <f t="shared" si="1"/>
        <v>168</v>
      </c>
      <c r="W6">
        <f t="shared" si="1"/>
        <v>179</v>
      </c>
      <c r="X6">
        <f t="shared" si="1"/>
        <v>188</v>
      </c>
      <c r="Y6">
        <f t="shared" si="1"/>
        <v>200</v>
      </c>
      <c r="Z6">
        <f t="shared" si="1"/>
        <v>207</v>
      </c>
      <c r="AA6">
        <f t="shared" si="1"/>
        <v>213</v>
      </c>
      <c r="AB6">
        <f t="shared" si="1"/>
        <v>218</v>
      </c>
      <c r="AC6">
        <f t="shared" si="1"/>
        <v>230</v>
      </c>
      <c r="AD6">
        <f t="shared" si="1"/>
        <v>241</v>
      </c>
      <c r="AE6">
        <f t="shared" si="1"/>
        <v>250</v>
      </c>
      <c r="AF6">
        <f t="shared" si="1"/>
        <v>262</v>
      </c>
      <c r="AG6">
        <f t="shared" si="1"/>
        <v>269</v>
      </c>
      <c r="AH6">
        <f t="shared" si="1"/>
        <v>276</v>
      </c>
      <c r="AI6">
        <f t="shared" si="1"/>
        <v>279</v>
      </c>
      <c r="AJ6">
        <f t="shared" si="1"/>
        <v>286</v>
      </c>
      <c r="AK6">
        <f t="shared" si="1"/>
        <v>297</v>
      </c>
      <c r="AL6">
        <f t="shared" si="1"/>
        <v>304</v>
      </c>
      <c r="AM6">
        <f>FIND(",",$A3,AL6+2)</f>
        <v>311</v>
      </c>
      <c r="AN6">
        <f>FIND(",",$A3,AM6+2)</f>
        <v>318</v>
      </c>
      <c r="AO6">
        <f t="shared" ref="AO6:AU6" si="2">FIND(",",$A3,AN6+2)</f>
        <v>328</v>
      </c>
      <c r="AP6">
        <f t="shared" si="2"/>
        <v>331</v>
      </c>
      <c r="AQ6">
        <f t="shared" si="2"/>
        <v>338</v>
      </c>
      <c r="AR6">
        <f t="shared" si="2"/>
        <v>341</v>
      </c>
      <c r="AS6">
        <f t="shared" si="2"/>
        <v>349</v>
      </c>
      <c r="AT6">
        <f t="shared" si="2"/>
        <v>359</v>
      </c>
      <c r="AU6">
        <f t="shared" si="2"/>
        <v>364</v>
      </c>
      <c r="AV6">
        <f>FIND(",",$A3,AU6+2)</f>
        <v>375</v>
      </c>
      <c r="AW6">
        <f t="shared" ref="AW6:BG6" si="3">FIND(",",$A3,AV6+2)</f>
        <v>384</v>
      </c>
      <c r="AX6">
        <f t="shared" si="3"/>
        <v>396</v>
      </c>
      <c r="AY6">
        <f t="shared" si="3"/>
        <v>402</v>
      </c>
      <c r="AZ6">
        <f t="shared" si="3"/>
        <v>409</v>
      </c>
      <c r="BA6">
        <f t="shared" si="3"/>
        <v>412</v>
      </c>
      <c r="BB6">
        <f t="shared" si="3"/>
        <v>424</v>
      </c>
      <c r="BC6">
        <f t="shared" si="3"/>
        <v>431</v>
      </c>
      <c r="BD6">
        <f t="shared" si="3"/>
        <v>438</v>
      </c>
      <c r="BE6">
        <f t="shared" si="3"/>
        <v>448</v>
      </c>
      <c r="BF6">
        <f t="shared" si="3"/>
        <v>453</v>
      </c>
      <c r="BG6">
        <f t="shared" si="3"/>
        <v>462</v>
      </c>
      <c r="BH6">
        <f>FIND(",",$A3,BG6+2)</f>
        <v>470</v>
      </c>
      <c r="BI6">
        <f t="shared" ref="BI6:BV6" si="4">FIND(",",$A3,BH6+2)</f>
        <v>473</v>
      </c>
      <c r="BJ6">
        <f t="shared" si="4"/>
        <v>485</v>
      </c>
      <c r="BK6">
        <f t="shared" si="4"/>
        <v>493</v>
      </c>
      <c r="BL6">
        <f t="shared" si="4"/>
        <v>499</v>
      </c>
      <c r="BM6">
        <f t="shared" si="4"/>
        <v>510</v>
      </c>
      <c r="BN6">
        <f t="shared" si="4"/>
        <v>520</v>
      </c>
      <c r="BO6">
        <f t="shared" si="4"/>
        <v>529</v>
      </c>
      <c r="BP6">
        <f t="shared" si="4"/>
        <v>538</v>
      </c>
      <c r="BQ6">
        <f t="shared" si="4"/>
        <v>543</v>
      </c>
      <c r="BR6">
        <f t="shared" si="4"/>
        <v>555</v>
      </c>
      <c r="BS6">
        <f t="shared" si="4"/>
        <v>563</v>
      </c>
      <c r="BT6">
        <f t="shared" si="4"/>
        <v>569</v>
      </c>
      <c r="BU6">
        <f t="shared" si="4"/>
        <v>581</v>
      </c>
      <c r="BV6">
        <f t="shared" si="4"/>
        <v>589</v>
      </c>
    </row>
    <row r="7" spans="1:74" x14ac:dyDescent="0.3">
      <c r="A7" t="str">
        <f>MID($A$3,1,A6-1)</f>
        <v>Kafka</v>
      </c>
      <c r="B7" t="str">
        <f t="shared" ref="B7:G7" si="5">MID($A$3,A6+2,B6-A6-2)</f>
        <v>DataBricks</v>
      </c>
      <c r="C7" t="str">
        <f t="shared" si="5"/>
        <v>Spark</v>
      </c>
      <c r="D7" t="str">
        <f t="shared" si="5"/>
        <v>Python</v>
      </c>
      <c r="E7" t="str">
        <f t="shared" si="5"/>
        <v>GCP</v>
      </c>
      <c r="F7" t="str">
        <f t="shared" si="5"/>
        <v>Power BI</v>
      </c>
      <c r="G7" t="str">
        <f t="shared" si="5"/>
        <v>GCP</v>
      </c>
      <c r="H7" t="str">
        <f t="shared" ref="H7:J7" si="6">MID($A$3,G6+2,H6-G6-2)</f>
        <v>Airflow</v>
      </c>
      <c r="I7" t="str">
        <f t="shared" si="6"/>
        <v>Hadoop</v>
      </c>
      <c r="J7" t="str">
        <f t="shared" si="6"/>
        <v>R</v>
      </c>
      <c r="K7" t="str">
        <f t="shared" ref="K7" si="7">MID($A$3,J6+2,K6-J6-2)</f>
        <v>Azure</v>
      </c>
      <c r="L7" t="str">
        <f t="shared" ref="L7:M7" si="8">MID($A$3,K6+2,L6-K6-2)</f>
        <v>Java</v>
      </c>
      <c r="M7" t="str">
        <f t="shared" si="8"/>
        <v>SQL</v>
      </c>
      <c r="N7" t="str">
        <f t="shared" ref="N7" si="9">MID($A$3,M6+2,N6-M6-2)</f>
        <v>DataBricks</v>
      </c>
      <c r="O7" t="str">
        <f>MID($A$3,N6+2,O6-N6-2)</f>
        <v>Kafka</v>
      </c>
      <c r="P7" t="str">
        <f t="shared" ref="P7" si="10">MID($A$3,O6+2,P6-O6-2)</f>
        <v>DataBricks</v>
      </c>
      <c r="Q7" t="str">
        <f t="shared" ref="Q7" si="11">MID($A$3,P6+2,Q6-P6-2)</f>
        <v>Spark</v>
      </c>
      <c r="R7" t="str">
        <f t="shared" ref="R7" si="12">MID($A$3,Q6+2,R6-Q6-2)</f>
        <v>Python</v>
      </c>
      <c r="S7" t="str">
        <f t="shared" ref="S7" si="13">MID($A$3,R6+2,S6-R6-2)</f>
        <v>GCP</v>
      </c>
      <c r="T7" t="str">
        <f>MID($A$3,S6+2,T6-S6-2)</f>
        <v>DataBricks</v>
      </c>
      <c r="U7" t="str">
        <f t="shared" ref="U7" si="14">MID($A$3,T6+2,U6-T6-2)</f>
        <v>Hadoop</v>
      </c>
      <c r="V7" t="str">
        <f t="shared" ref="V7" si="15">MID($A$3,U6+2,V6-U6-2)</f>
        <v>Java</v>
      </c>
      <c r="W7" t="str">
        <f t="shared" ref="W7" si="16">MID($A$3,V6+2,W6-V6-2)</f>
        <v>Snowflake</v>
      </c>
      <c r="X7" t="str">
        <f t="shared" ref="X7" si="17">MID($A$3,W6+2,X6-W6-2)</f>
        <v>Airflow</v>
      </c>
      <c r="Y7" t="str">
        <f t="shared" ref="Y7" si="18">MID($A$3,X6+2,Y6-X6-2)</f>
        <v>DataBricks</v>
      </c>
      <c r="Z7" t="str">
        <f t="shared" ref="Z7" si="19">MID($A$3,Y6+2,Z6-Y6-2)</f>
        <v>Azure</v>
      </c>
      <c r="AA7" t="str">
        <f t="shared" ref="AA7" si="20">MID($A$3,Z6+2,AA6-Z6-2)</f>
        <v>Java</v>
      </c>
      <c r="AB7" t="str">
        <f t="shared" ref="AB7" si="21">MID($A$3,AA6+2,AB6-AA6-2)</f>
        <v>SQL</v>
      </c>
      <c r="AC7" t="str">
        <f t="shared" ref="AC7" si="22">MID($A$3,AB6+2,AC6-AB6-2)</f>
        <v>DataBricks</v>
      </c>
      <c r="AD7" t="str">
        <f t="shared" ref="AD7" si="23">MID($A$3,AC6+2,AD6-AC6-2)</f>
        <v>Snowflake</v>
      </c>
      <c r="AE7" t="str">
        <f t="shared" ref="AE7" si="24">MID($A$3,AD6+2,AE6-AD6-2)</f>
        <v>Airflow</v>
      </c>
      <c r="AF7" t="str">
        <f t="shared" ref="AF7" si="25">MID($A$3,AE6+2,AF6-AE6-2)</f>
        <v>DataBricks</v>
      </c>
      <c r="AG7" t="str">
        <f t="shared" ref="AG7" si="26">MID($A$3,AF6+2,AG6-AF6-2)</f>
        <v>Scala</v>
      </c>
      <c r="AH7" t="str">
        <f t="shared" ref="AH7" si="27">MID($A$3,AG6+2,AH6-AG6-2)</f>
        <v>Azure</v>
      </c>
      <c r="AI7" t="str">
        <f t="shared" ref="AI7" si="28">MID($A$3,AH6+2,AI6-AH6-2)</f>
        <v>R</v>
      </c>
      <c r="AJ7" t="str">
        <f t="shared" ref="AJ7" si="29">MID($A$3,AI6+2,AJ6-AI6-2)</f>
        <v>Kafka</v>
      </c>
      <c r="AK7" t="str">
        <f t="shared" ref="AK7" si="30">MID($A$3,AJ6+2,AK6-AJ6-2)</f>
        <v>Snowflake</v>
      </c>
      <c r="AL7" t="str">
        <f t="shared" ref="AL7" si="31">MID($A$3,AK6+2,AL6-AK6-2)</f>
        <v>Excel</v>
      </c>
      <c r="AM7" t="str">
        <f t="shared" ref="AM7" si="32">MID($A$3,AL6+2,AM6-AL6-2)</f>
        <v>Scala</v>
      </c>
      <c r="AN7" t="str">
        <f t="shared" ref="AN7" si="33">MID($A$3,AM6+2,AN6-AM6-2)</f>
        <v>Excel</v>
      </c>
      <c r="AO7" t="str">
        <f t="shared" ref="AO7" si="34">MID($A$3,AN6+2,AO6-AN6-2)</f>
        <v>Power BI</v>
      </c>
      <c r="AP7" t="str">
        <f t="shared" ref="AP7" si="35">MID($A$3,AO6+2,AP6-AO6-2)</f>
        <v>R</v>
      </c>
      <c r="AQ7" t="str">
        <f t="shared" ref="AQ7" si="36">MID($A$3,AP6+2,AQ6-AP6-2)</f>
        <v>Scala</v>
      </c>
      <c r="AR7" t="str">
        <f t="shared" ref="AR7" si="37">MID($A$3,AQ6+2,AR6-AQ6-2)</f>
        <v>R</v>
      </c>
      <c r="AS7" t="str">
        <f t="shared" ref="AS7" si="38">MID($A$3,AR6+2,AS6-AR6-2)</f>
        <v>Hadoop</v>
      </c>
      <c r="AT7" t="str">
        <f t="shared" ref="AT7" si="39">MID($A$3,AS6+2,AT6-AS6-2)</f>
        <v>Power BI</v>
      </c>
      <c r="AU7" t="str">
        <f t="shared" ref="AU7" si="40">MID($A$3,AT6+2,AU6-AT6-2)</f>
        <v>SQL</v>
      </c>
      <c r="AV7" t="str">
        <f t="shared" ref="AV7" si="41">MID($A$3,AU6+2,AV6-AU6-2)</f>
        <v>Snowflake</v>
      </c>
      <c r="AW7" t="str">
        <f t="shared" ref="AW7" si="42">MID($A$3,AV6+2,AW6-AV6-2)</f>
        <v>Airflow</v>
      </c>
      <c r="AX7" t="str">
        <f t="shared" ref="AX7" si="43">MID($A$3,AW6+2,AX6-AW6-2)</f>
        <v>DataBricks</v>
      </c>
      <c r="AY7" t="str">
        <f t="shared" ref="AY7" si="44">MID($A$3,AX6+2,AY6-AX6-2)</f>
        <v>Java</v>
      </c>
      <c r="AZ7" t="str">
        <f t="shared" ref="AZ7" si="45">MID($A$3,AY6+2,AZ6-AY6-2)</f>
        <v>Scala</v>
      </c>
      <c r="BA7" t="str">
        <f t="shared" ref="BA7" si="46">MID($A$3,AZ6+2,BA6-AZ6-2)</f>
        <v>R</v>
      </c>
      <c r="BB7" t="str">
        <f t="shared" ref="BB7" si="47">MID($A$3,BA6+2,BB6-BA6-2)</f>
        <v>DataBricks</v>
      </c>
      <c r="BC7" t="str">
        <f t="shared" ref="BC7" si="48">MID($A$3,BB6+2,BC6-BB6-2)</f>
        <v>Azure</v>
      </c>
      <c r="BD7" t="str">
        <f t="shared" ref="BD7" si="49">MID($A$3,BC6+2,BD6-BC6-2)</f>
        <v>Scala</v>
      </c>
      <c r="BE7" t="str">
        <f t="shared" ref="BE7" si="50">MID($A$3,BD6+2,BE6-BD6-2)</f>
        <v>Power BI</v>
      </c>
      <c r="BF7" t="str">
        <f t="shared" ref="BF7" si="51">MID($A$3,BE6+2,BF6-BE6-2)</f>
        <v>GCP</v>
      </c>
      <c r="BG7" t="str">
        <f t="shared" ref="BG7" si="52">MID($A$3,BF6+2,BG6-BF6-2)</f>
        <v>Airflow</v>
      </c>
      <c r="BH7" t="str">
        <f t="shared" ref="BH7" si="53">MID($A$3,BG6+2,BH6-BG6-2)</f>
        <v>Hadoop</v>
      </c>
      <c r="BI7" t="str">
        <f t="shared" ref="BI7" si="54">MID($A$3,BH6+2,BI6-BH6-2)</f>
        <v>R</v>
      </c>
      <c r="BJ7" t="str">
        <f t="shared" ref="BJ7" si="55">MID($A$3,BI6+2,BJ6-BI6-2)</f>
        <v>DataBricks</v>
      </c>
      <c r="BK7" t="str">
        <f t="shared" ref="BK7" si="56">MID($A$3,BJ6+2,BK6-BJ6-2)</f>
        <v>Hadoop</v>
      </c>
      <c r="BL7" t="str">
        <f t="shared" ref="BL7" si="57">MID($A$3,BK6+2,BL6-BK6-2)</f>
        <v>Java</v>
      </c>
      <c r="BM7" t="str">
        <f t="shared" ref="BM7" si="58">MID($A$3,BL6+2,BM6-BL6-2)</f>
        <v>Snowflake</v>
      </c>
      <c r="BN7" t="str">
        <f t="shared" ref="BN7" si="59">MID($A$3,BM6+2,BN6-BM6-2)</f>
        <v>Power BI</v>
      </c>
      <c r="BO7" t="str">
        <f t="shared" ref="BO7" si="60">MID($A$3,BN6+2,BO6-BN6-2)</f>
        <v>Tableau</v>
      </c>
      <c r="BP7" t="str">
        <f t="shared" ref="BP7" si="61">MID($A$3,BO6+2,BP6-BO6-2)</f>
        <v>Airflow</v>
      </c>
      <c r="BQ7" t="str">
        <f t="shared" ref="BQ7" si="62">MID($A$3,BP6+2,BQ6-BP6-2)</f>
        <v>SQL</v>
      </c>
      <c r="BR7" t="str">
        <f t="shared" ref="BR7" si="63">MID($A$3,BQ6+2,BR6-BQ6-2)</f>
        <v>DataBricks</v>
      </c>
      <c r="BS7" t="str">
        <f t="shared" ref="BS7" si="64">MID($A$3,BR6+2,BS6-BR6-2)</f>
        <v>Hadoop</v>
      </c>
      <c r="BT7" t="str">
        <f t="shared" ref="BT7" si="65">MID($A$3,BS6+2,BT6-BS6-2)</f>
        <v>Java</v>
      </c>
      <c r="BU7" t="str">
        <f t="shared" ref="BU7" si="66">MID($A$3,BT6+2,BU6-BT6-2)</f>
        <v>DataBricks</v>
      </c>
      <c r="BV7" t="str">
        <f t="shared" ref="BV7" si="67">MID($A$3,BU6+2,BV6-BU6-2)</f>
        <v>Hadoop</v>
      </c>
    </row>
    <row r="9" spans="1:74" x14ac:dyDescent="0.3">
      <c r="A9" s="15" t="s">
        <v>68</v>
      </c>
      <c r="B9" s="15" t="s">
        <v>93</v>
      </c>
      <c r="C9" s="16"/>
      <c r="D9" s="16"/>
      <c r="E9" s="16"/>
      <c r="F9" s="16"/>
    </row>
    <row r="10" spans="1:74" x14ac:dyDescent="0.3">
      <c r="A10" s="1" t="str" cm="1">
        <f t="array" ref="A10:A26">_xlfn.UNIQUE(TRANSPOSE(7:7))</f>
        <v>Kafka</v>
      </c>
      <c r="B10" s="1">
        <f>COUNTIF($7:$7,A10)</f>
        <v>3</v>
      </c>
    </row>
    <row r="11" spans="1:74" x14ac:dyDescent="0.3">
      <c r="A11" s="1" t="str">
        <v>DataBricks</v>
      </c>
      <c r="B11" s="1">
        <f t="shared" ref="B11:B26" si="68">COUNTIF($7:$7,A11)</f>
        <v>12</v>
      </c>
    </row>
    <row r="12" spans="1:74" x14ac:dyDescent="0.3">
      <c r="A12" s="1" t="str">
        <v>Spark</v>
      </c>
      <c r="B12" s="1">
        <f t="shared" si="68"/>
        <v>2</v>
      </c>
    </row>
    <row r="13" spans="1:74" x14ac:dyDescent="0.3">
      <c r="A13" s="1" t="str">
        <v>Python</v>
      </c>
      <c r="B13" s="1">
        <f t="shared" si="68"/>
        <v>2</v>
      </c>
    </row>
    <row r="14" spans="1:74" x14ac:dyDescent="0.3">
      <c r="A14" s="1" t="str">
        <v>GCP</v>
      </c>
      <c r="B14" s="1">
        <f t="shared" si="68"/>
        <v>4</v>
      </c>
    </row>
    <row r="15" spans="1:74" x14ac:dyDescent="0.3">
      <c r="A15" s="1" t="str">
        <v>Power BI</v>
      </c>
      <c r="B15" s="1">
        <f t="shared" si="68"/>
        <v>5</v>
      </c>
    </row>
    <row r="16" spans="1:74" x14ac:dyDescent="0.3">
      <c r="A16" s="1" t="str">
        <v>Airflow</v>
      </c>
      <c r="B16" s="1">
        <f t="shared" si="68"/>
        <v>6</v>
      </c>
    </row>
    <row r="17" spans="1:2" x14ac:dyDescent="0.3">
      <c r="A17" s="1" t="str">
        <v>Hadoop</v>
      </c>
      <c r="B17" s="1">
        <f t="shared" si="68"/>
        <v>7</v>
      </c>
    </row>
    <row r="18" spans="1:2" x14ac:dyDescent="0.3">
      <c r="A18" s="1" t="str">
        <v>R</v>
      </c>
      <c r="B18" s="1">
        <f t="shared" si="68"/>
        <v>6</v>
      </c>
    </row>
    <row r="19" spans="1:2" x14ac:dyDescent="0.3">
      <c r="A19" s="1" t="str">
        <v>Azure</v>
      </c>
      <c r="B19" s="1">
        <f t="shared" si="68"/>
        <v>4</v>
      </c>
    </row>
    <row r="20" spans="1:2" x14ac:dyDescent="0.3">
      <c r="A20" s="1" t="str">
        <v>Java</v>
      </c>
      <c r="B20" s="1">
        <f t="shared" si="68"/>
        <v>6</v>
      </c>
    </row>
    <row r="21" spans="1:2" x14ac:dyDescent="0.3">
      <c r="A21" s="1" t="str">
        <v>SQL</v>
      </c>
      <c r="B21" s="1">
        <f t="shared" si="68"/>
        <v>4</v>
      </c>
    </row>
    <row r="22" spans="1:2" x14ac:dyDescent="0.3">
      <c r="A22" s="1" t="str">
        <v>Snowflake</v>
      </c>
      <c r="B22" s="1">
        <f t="shared" si="68"/>
        <v>5</v>
      </c>
    </row>
    <row r="23" spans="1:2" x14ac:dyDescent="0.3">
      <c r="A23" s="1" t="str">
        <v>Scala</v>
      </c>
      <c r="B23" s="1">
        <f t="shared" si="68"/>
        <v>5</v>
      </c>
    </row>
    <row r="24" spans="1:2" x14ac:dyDescent="0.3">
      <c r="A24" s="1" t="str">
        <v>Excel</v>
      </c>
      <c r="B24" s="1">
        <f t="shared" si="68"/>
        <v>2</v>
      </c>
    </row>
    <row r="25" spans="1:2" x14ac:dyDescent="0.3">
      <c r="A25" s="1" t="str">
        <v>Tableau</v>
      </c>
      <c r="B25" s="1">
        <f t="shared" si="68"/>
        <v>1</v>
      </c>
    </row>
    <row r="26" spans="1:2" x14ac:dyDescent="0.3">
      <c r="A26" s="1">
        <v>0</v>
      </c>
      <c r="B26" s="1">
        <f t="shared" si="68"/>
        <v>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703745-B0C6-4257-86EF-63503AE62C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Data</vt:lpstr>
      <vt:lpstr>Text_Combination</vt:lpstr>
      <vt:lpstr>Text_Extraction</vt:lpstr>
      <vt:lpstr>Text_Search</vt:lpstr>
      <vt:lpstr>Skills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Adams</dc:creator>
  <cp:lastModifiedBy>Joe Moussa Diegane Sarr</cp:lastModifiedBy>
  <dcterms:created xsi:type="dcterms:W3CDTF">2015-06-05T18:17:20Z</dcterms:created>
  <dcterms:modified xsi:type="dcterms:W3CDTF">2026-09-08T13:28:10Z</dcterms:modified>
</cp:coreProperties>
</file>