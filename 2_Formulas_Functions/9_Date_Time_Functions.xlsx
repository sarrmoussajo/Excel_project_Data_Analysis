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8ad526261db1a04/Documents/DATA ANALYST/EXCEL/LUKE BAROUSSE/2_Formulas_Functions/"/>
    </mc:Choice>
  </mc:AlternateContent>
  <xr:revisionPtr revIDLastSave="1" documentId="13_ncr:1_{A7C08F6B-577E-40FC-87A2-A00B849E81C2}" xr6:coauthVersionLast="47" xr6:coauthVersionMax="47" xr10:uidLastSave="{96909D06-C3FE-475E-85C8-2C86989B43C6}"/>
  <bookViews>
    <workbookView xWindow="-108" yWindow="-108" windowWidth="23256" windowHeight="12456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Z2" i="8" a="1"/>
  <c r="Z2" i="8" s="1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 a="1"/>
  <c r="X3" i="8" s="1"/>
  <c r="X4" i="8" a="1"/>
  <c r="X4" i="8" s="1"/>
  <c r="X5" i="8" a="1"/>
  <c r="X5" i="8"/>
  <c r="X6" i="8" a="1"/>
  <c r="X6" i="8"/>
  <c r="X7" i="8" a="1"/>
  <c r="X7" i="8" s="1"/>
  <c r="X8" i="8" a="1"/>
  <c r="X8" i="8" s="1"/>
  <c r="X9" i="8" a="1"/>
  <c r="X9" i="8"/>
  <c r="X10" i="8" a="1"/>
  <c r="X10" i="8"/>
  <c r="X11" i="8" a="1"/>
  <c r="X11" i="8" s="1"/>
  <c r="X12" i="8" a="1"/>
  <c r="X12" i="8" s="1"/>
  <c r="X13" i="8" a="1"/>
  <c r="X13" i="8" s="1"/>
  <c r="X14" i="8" a="1"/>
  <c r="X14" i="8"/>
  <c r="X15" i="8" a="1"/>
  <c r="X15" i="8" s="1"/>
  <c r="X16" i="8" a="1"/>
  <c r="X16" i="8" s="1"/>
  <c r="X17" i="8" a="1"/>
  <c r="X17" i="8" s="1"/>
  <c r="X18" i="8" a="1"/>
  <c r="X18" i="8"/>
  <c r="X19" i="8" a="1"/>
  <c r="X19" i="8" s="1"/>
  <c r="X20" i="8" a="1"/>
  <c r="X20" i="8" s="1"/>
  <c r="X21" i="8" a="1"/>
  <c r="X21" i="8" s="1"/>
  <c r="X2" i="8" a="1"/>
  <c r="X2" i="8" s="1"/>
  <c r="T2" i="8"/>
  <c r="T3" i="8"/>
  <c r="U3" i="8"/>
  <c r="V3" i="8"/>
  <c r="T4" i="8"/>
  <c r="U4" i="8"/>
  <c r="V4" i="8"/>
  <c r="T5" i="8"/>
  <c r="U5" i="8"/>
  <c r="V5" i="8"/>
  <c r="T6" i="8"/>
  <c r="U6" i="8"/>
  <c r="V6" i="8"/>
  <c r="T7" i="8"/>
  <c r="U7" i="8"/>
  <c r="V7" i="8"/>
  <c r="T8" i="8"/>
  <c r="U8" i="8"/>
  <c r="V8" i="8"/>
  <c r="T9" i="8"/>
  <c r="U9" i="8"/>
  <c r="V9" i="8"/>
  <c r="T10" i="8"/>
  <c r="U10" i="8"/>
  <c r="V10" i="8"/>
  <c r="T11" i="8"/>
  <c r="U11" i="8"/>
  <c r="V11" i="8"/>
  <c r="T12" i="8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U19" i="8"/>
  <c r="V19" i="8"/>
  <c r="T20" i="8"/>
  <c r="U20" i="8"/>
  <c r="V20" i="8"/>
  <c r="T21" i="8"/>
  <c r="U21" i="8"/>
  <c r="V21" i="8"/>
  <c r="V2" i="8"/>
  <c r="U2" i="8"/>
  <c r="P2" i="8"/>
  <c r="R2" i="8" s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J17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8" i="8"/>
  <c r="J19" i="8"/>
  <c r="J20" i="8"/>
  <c r="J21" i="8"/>
  <c r="J2" i="8"/>
  <c r="N2" i="8" s="1"/>
  <c r="L2" i="8"/>
  <c r="K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5" i="8" l="1"/>
  <c r="R3" i="8"/>
  <c r="R6" i="8"/>
  <c r="R18" i="8"/>
  <c r="R10" i="8"/>
  <c r="R17" i="8"/>
  <c r="R9" i="8"/>
  <c r="R16" i="8"/>
  <c r="R8" i="8"/>
  <c r="R15" i="8"/>
  <c r="R7" i="8"/>
  <c r="R14" i="8"/>
  <c r="R13" i="8"/>
  <c r="R20" i="8"/>
  <c r="R12" i="8"/>
  <c r="R4" i="8"/>
  <c r="R21" i="8"/>
  <c r="R19" i="8"/>
  <c r="R11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<sst xmlns="http://schemas.openxmlformats.org/spreadsheetml/2006/main" count="471" uniqueCount="97">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</sst>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SN"/>
              <a:t>Job</a:t>
            </a:r>
            <a:r>
              <a:rPr lang="fr-SN" baseline="0"/>
              <a:t> Postings per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4-48F6-A08C-7BA25D8F0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2054735"/>
        <c:axId val="295225231"/>
      </c:barChart>
      <c:catAx>
        <c:axId val="205205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5225231"/>
        <c:crosses val="autoZero"/>
        <c:auto val="1"/>
        <c:lblAlgn val="ctr"/>
        <c:lblOffset val="100"/>
        <c:noMultiLvlLbl val="0"/>
      </c:catAx>
      <c:valAx>
        <c:axId val="29522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205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15240</xdr:colOff>
      <xdr:row>0</xdr:row>
      <xdr:rowOff>26670</xdr:rowOff>
    </xdr:from>
    <xdr:to>
      <xdr:col>36</xdr:col>
      <xdr:colOff>320040</xdr:colOff>
      <xdr:row>15</xdr:row>
      <xdr:rowOff>26670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2BEF090-1813-364F-CCA1-FCA70D5DB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topLeftCell="D1" workbookViewId="0">
      <selection activeCell="AG20" sqref="AG20"/>
    </sheetView>
  </sheetViews>
  <sheetFormatPr baseColWidth="10" defaultColWidth="8.88671875"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hidden="1" customWidth="1"/>
    <col min="6" max="6" width="11" hidden="1" customWidth="1"/>
    <col min="7" max="7" width="22" hidden="1" customWidth="1"/>
    <col min="8" max="8" width="4.88671875" hidden="1" customWidth="1"/>
    <col min="10" max="13" width="8.88671875" hidden="1" customWidth="1"/>
    <col min="14" max="14" width="14.21875" hidden="1" customWidth="1"/>
    <col min="15" max="15" width="8.88671875" hidden="1" customWidth="1"/>
    <col min="16" max="16" width="10.5546875" hidden="1" customWidth="1"/>
    <col min="17" max="17" width="8.88671875" hidden="1" customWidth="1"/>
    <col min="18" max="18" width="16" hidden="1" customWidth="1"/>
    <col min="19" max="23" width="8.88671875" customWidth="1"/>
    <col min="24" max="25" width="14.33203125" customWidth="1"/>
    <col min="26" max="26" width="8.88671875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Z1" s="15" t="s">
        <v>96</v>
      </c>
      <c r="AA1" s="15" t="s">
        <v>93</v>
      </c>
      <c r="AB1" s="16"/>
    </row>
    <row r="2" spans="1:2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46273</v>
      </c>
      <c r="R2">
        <f ca="1">_xlfn.DAYS(P$2,N2)</f>
        <v>1302</v>
      </c>
      <c r="T2">
        <f>HOUR(D2)</f>
        <v>15</v>
      </c>
      <c r="U2">
        <f>MINUTE(D2)</f>
        <v>22</v>
      </c>
      <c r="V2">
        <f>SECOND(D2)</f>
        <v>15</v>
      </c>
      <c r="X2" s="13" cm="1">
        <f t="array" ref="X2">TIME(T2,U2:U2,V2)</f>
        <v>0.64045138888888886</v>
      </c>
      <c r="Y2" t="str">
        <f>TEXT(D2,"HH:mm AM/PM")</f>
        <v>03:22 PM</v>
      </c>
      <c r="Z2" cm="1">
        <f t="array" ref="Z2:Z21">HOUR(D2:D21)</f>
        <v>15</v>
      </c>
      <c r="AA2" cm="1">
        <f t="array" ref="AA2:AA25">_xlfn.SEQUENCE(24,,1,)</f>
        <v>1</v>
      </c>
      <c r="AB2">
        <f>COUNTIF(_xlfn.ANCHORARRAY($Z$2),AA2)</f>
        <v>0</v>
      </c>
    </row>
    <row r="3" spans="1:2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_xlfn.DAYS(P$2,N3)</f>
        <v>1218</v>
      </c>
      <c r="T3">
        <f t="shared" ref="T3:T21" si="4">HOUR(D3)</f>
        <v>9</v>
      </c>
      <c r="U3">
        <f t="shared" ref="U3:U21" si="5">MINUTE(D3)</f>
        <v>45</v>
      </c>
      <c r="V3">
        <f t="shared" ref="V3:V21" si="6">SECOND(D3)</f>
        <v>32</v>
      </c>
      <c r="X3" s="13" cm="1">
        <f t="array" ref="X3">TIME(T3,U3:U3,V3)</f>
        <v>0.40662037037037035</v>
      </c>
      <c r="Y3" t="str">
        <f t="shared" ref="Y3:Y21" si="7">TEXT(D3,"HH:mm AM/PM")</f>
        <v>09:45 AM</v>
      </c>
      <c r="Z3">
        <v>9</v>
      </c>
      <c r="AA3">
        <v>2</v>
      </c>
      <c r="AB3">
        <f t="shared" ref="AB3:AB25" si="8">COUNTIF(_xlfn.ANCHORARRAY($Z$2),AA3)</f>
        <v>0</v>
      </c>
    </row>
    <row r="4" spans="1:2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3:R21" ca="1" si="9">_xlfn.DAYS(P$2,N4)</f>
        <v>1145</v>
      </c>
      <c r="T4">
        <f t="shared" si="4"/>
        <v>17</v>
      </c>
      <c r="U4">
        <f t="shared" si="5"/>
        <v>30</v>
      </c>
      <c r="V4">
        <f t="shared" si="6"/>
        <v>47</v>
      </c>
      <c r="X4" s="13" cm="1">
        <f t="array" ref="X4">TIME(T4,U4:U4,V4)</f>
        <v>0.72971064814814812</v>
      </c>
      <c r="Y4" t="str">
        <f t="shared" si="7"/>
        <v>05:30 PM</v>
      </c>
      <c r="Z4">
        <v>17</v>
      </c>
      <c r="AA4">
        <v>3</v>
      </c>
      <c r="AB4">
        <f t="shared" si="8"/>
        <v>0</v>
      </c>
    </row>
    <row r="5" spans="1:2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ca="1">_xlfn.DAYS(P$2,N5)</f>
        <v>1100</v>
      </c>
      <c r="T5">
        <f t="shared" si="4"/>
        <v>7</v>
      </c>
      <c r="U5">
        <f t="shared" si="5"/>
        <v>15</v>
      </c>
      <c r="V5">
        <f t="shared" si="6"/>
        <v>9</v>
      </c>
      <c r="X5" s="13" cm="1">
        <f t="array" ref="X5">TIME(T5,U5:U5,V5)</f>
        <v>0.3021875</v>
      </c>
      <c r="Y5" t="str">
        <f t="shared" si="7"/>
        <v>07:15 AM</v>
      </c>
      <c r="Z5">
        <v>7</v>
      </c>
      <c r="AA5">
        <v>4</v>
      </c>
      <c r="AB5">
        <f t="shared" si="8"/>
        <v>0</v>
      </c>
    </row>
    <row r="6" spans="1:2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9"/>
        <v>1025</v>
      </c>
      <c r="T6">
        <f t="shared" si="4"/>
        <v>17</v>
      </c>
      <c r="U6">
        <f t="shared" si="5"/>
        <v>0</v>
      </c>
      <c r="V6">
        <f t="shared" si="6"/>
        <v>21</v>
      </c>
      <c r="X6" s="13" cm="1">
        <f t="array" ref="X6">TIME(T6,U6:U6,V6)</f>
        <v>0.70857638888888885</v>
      </c>
      <c r="Y6" t="str">
        <f t="shared" si="7"/>
        <v>05:00 PM</v>
      </c>
      <c r="Z6">
        <v>17</v>
      </c>
      <c r="AA6">
        <v>5</v>
      </c>
      <c r="AB6">
        <f t="shared" si="8"/>
        <v>0</v>
      </c>
    </row>
    <row r="7" spans="1:2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9"/>
        <v>971</v>
      </c>
      <c r="T7">
        <f t="shared" si="4"/>
        <v>12</v>
      </c>
      <c r="U7">
        <f t="shared" si="5"/>
        <v>45</v>
      </c>
      <c r="V7">
        <f t="shared" si="6"/>
        <v>58</v>
      </c>
      <c r="X7" s="13" cm="1">
        <f t="array" ref="X7">TIME(T7,U7:U7,V7)</f>
        <v>0.53192129629629625</v>
      </c>
      <c r="Y7" t="str">
        <f t="shared" si="7"/>
        <v>12:45 PM</v>
      </c>
      <c r="Z7">
        <v>12</v>
      </c>
      <c r="AA7">
        <v>6</v>
      </c>
      <c r="AB7">
        <f t="shared" si="8"/>
        <v>1</v>
      </c>
    </row>
    <row r="8" spans="1:2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9"/>
        <v>919</v>
      </c>
      <c r="T8">
        <f t="shared" si="4"/>
        <v>16</v>
      </c>
      <c r="U8">
        <f t="shared" si="5"/>
        <v>30</v>
      </c>
      <c r="V8">
        <f t="shared" si="6"/>
        <v>33</v>
      </c>
      <c r="X8" s="13" cm="1">
        <f t="array" ref="X8">TIME(T8,U8:U8,V8)</f>
        <v>0.68788194444444439</v>
      </c>
      <c r="Y8" t="str">
        <f t="shared" si="7"/>
        <v>04:30 PM</v>
      </c>
      <c r="Z8">
        <v>16</v>
      </c>
      <c r="AA8">
        <v>7</v>
      </c>
      <c r="AB8">
        <f t="shared" si="8"/>
        <v>3</v>
      </c>
    </row>
    <row r="9" spans="1:2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9"/>
        <v>865</v>
      </c>
      <c r="T9">
        <f t="shared" si="4"/>
        <v>8</v>
      </c>
      <c r="U9">
        <f t="shared" si="5"/>
        <v>10</v>
      </c>
      <c r="V9">
        <f t="shared" si="6"/>
        <v>46</v>
      </c>
      <c r="X9" s="13" cm="1">
        <f t="array" ref="X9">TIME(T9,U9:U9,V9)</f>
        <v>0.34081018518518519</v>
      </c>
      <c r="Y9" t="str">
        <f t="shared" si="7"/>
        <v>08:10 AM</v>
      </c>
      <c r="Z9">
        <v>8</v>
      </c>
      <c r="AA9">
        <v>8</v>
      </c>
      <c r="AB9">
        <f t="shared" si="8"/>
        <v>1</v>
      </c>
    </row>
    <row r="10" spans="1:2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9"/>
        <v>815</v>
      </c>
      <c r="T10">
        <f t="shared" si="4"/>
        <v>17</v>
      </c>
      <c r="U10">
        <f t="shared" si="5"/>
        <v>50</v>
      </c>
      <c r="V10">
        <f t="shared" si="6"/>
        <v>24</v>
      </c>
      <c r="X10" s="13" cm="1">
        <f t="array" ref="X10">TIME(T10,U10:U10,V10)</f>
        <v>0.74333333333333329</v>
      </c>
      <c r="Y10" t="str">
        <f t="shared" si="7"/>
        <v>05:50 PM</v>
      </c>
      <c r="Z10">
        <v>17</v>
      </c>
      <c r="AA10">
        <v>9</v>
      </c>
      <c r="AB10">
        <f t="shared" si="8"/>
        <v>1</v>
      </c>
    </row>
    <row r="11" spans="1:2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9"/>
        <v>793</v>
      </c>
      <c r="T11">
        <f t="shared" si="4"/>
        <v>14</v>
      </c>
      <c r="U11">
        <f t="shared" si="5"/>
        <v>35</v>
      </c>
      <c r="V11">
        <f t="shared" si="6"/>
        <v>36</v>
      </c>
      <c r="X11" s="13" cm="1">
        <f t="array" ref="X11">TIME(T11,U11:U11,V11)</f>
        <v>0.60805555555555557</v>
      </c>
      <c r="Y11" t="str">
        <f t="shared" si="7"/>
        <v>02:35 PM</v>
      </c>
      <c r="Z11">
        <v>14</v>
      </c>
      <c r="AA11">
        <v>10</v>
      </c>
      <c r="AB11">
        <f t="shared" si="8"/>
        <v>1</v>
      </c>
    </row>
    <row r="12" spans="1:2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9"/>
        <v>818</v>
      </c>
      <c r="T12">
        <f t="shared" si="4"/>
        <v>6</v>
      </c>
      <c r="U12">
        <f t="shared" si="5"/>
        <v>50</v>
      </c>
      <c r="V12">
        <f t="shared" si="6"/>
        <v>18</v>
      </c>
      <c r="X12" s="13" cm="1">
        <f t="array" ref="X12">TIME(T12,U12:U12,V12)</f>
        <v>0.28493055555555558</v>
      </c>
      <c r="Y12" t="str">
        <f t="shared" si="7"/>
        <v>06:50 AM</v>
      </c>
      <c r="Z12">
        <v>6</v>
      </c>
      <c r="AA12">
        <v>11</v>
      </c>
      <c r="AB12">
        <f t="shared" si="8"/>
        <v>1</v>
      </c>
    </row>
    <row r="13" spans="1:2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9"/>
        <v>1322</v>
      </c>
      <c r="T13">
        <f t="shared" si="4"/>
        <v>13</v>
      </c>
      <c r="U13">
        <f t="shared" si="5"/>
        <v>15</v>
      </c>
      <c r="V13">
        <f t="shared" si="6"/>
        <v>5</v>
      </c>
      <c r="X13" s="13" cm="1">
        <f t="array" ref="X13">TIME(T13,U13:U13,V13)</f>
        <v>0.55214120370370368</v>
      </c>
      <c r="Y13" t="str">
        <f t="shared" si="7"/>
        <v>01:15 PM</v>
      </c>
      <c r="Z13">
        <v>13</v>
      </c>
      <c r="AA13">
        <v>12</v>
      </c>
      <c r="AB13">
        <f t="shared" si="8"/>
        <v>1</v>
      </c>
    </row>
    <row r="14" spans="1:2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9"/>
        <v>1271</v>
      </c>
      <c r="T14">
        <f t="shared" si="4"/>
        <v>11</v>
      </c>
      <c r="U14">
        <f t="shared" si="5"/>
        <v>45</v>
      </c>
      <c r="V14">
        <f t="shared" si="6"/>
        <v>39</v>
      </c>
      <c r="X14" s="13" cm="1">
        <f t="array" ref="X14">TIME(T14,U14:U14,V14)</f>
        <v>0.49003472222222222</v>
      </c>
      <c r="Y14" t="str">
        <f t="shared" si="7"/>
        <v>11:45 AM</v>
      </c>
      <c r="Z14">
        <v>11</v>
      </c>
      <c r="AA14">
        <v>13</v>
      </c>
      <c r="AB14">
        <f t="shared" si="8"/>
        <v>1</v>
      </c>
    </row>
    <row r="15" spans="1:2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9"/>
        <v>1195</v>
      </c>
      <c r="T15">
        <f t="shared" si="4"/>
        <v>10</v>
      </c>
      <c r="U15">
        <f t="shared" si="5"/>
        <v>0</v>
      </c>
      <c r="V15">
        <f t="shared" si="6"/>
        <v>51</v>
      </c>
      <c r="X15" s="13" cm="1">
        <f t="array" ref="X15">TIME(T15,U15:U15,V15)</f>
        <v>0.41725694444444444</v>
      </c>
      <c r="Y15" t="str">
        <f t="shared" si="7"/>
        <v>10:00 AM</v>
      </c>
      <c r="Z15">
        <v>10</v>
      </c>
      <c r="AA15">
        <v>14</v>
      </c>
      <c r="AB15">
        <f t="shared" si="8"/>
        <v>1</v>
      </c>
    </row>
    <row r="16" spans="1:2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9"/>
        <v>1105</v>
      </c>
      <c r="T16">
        <f t="shared" si="4"/>
        <v>17</v>
      </c>
      <c r="U16">
        <f t="shared" si="5"/>
        <v>30</v>
      </c>
      <c r="V16">
        <f t="shared" si="6"/>
        <v>14</v>
      </c>
      <c r="X16" s="13" cm="1">
        <f t="array" ref="X16">TIME(T16,U16:U16,V16)</f>
        <v>0.72932870370370373</v>
      </c>
      <c r="Y16" t="str">
        <f t="shared" si="7"/>
        <v>05:30 PM</v>
      </c>
      <c r="Z16">
        <v>17</v>
      </c>
      <c r="AA16">
        <v>15</v>
      </c>
      <c r="AB16">
        <f t="shared" si="8"/>
        <v>1</v>
      </c>
    </row>
    <row r="17" spans="1:2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>MONTH(D17)</f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9"/>
        <v>1055</v>
      </c>
      <c r="T17">
        <f t="shared" si="4"/>
        <v>7</v>
      </c>
      <c r="U17">
        <f t="shared" si="5"/>
        <v>40</v>
      </c>
      <c r="V17">
        <f t="shared" si="6"/>
        <v>29</v>
      </c>
      <c r="X17" s="13" cm="1">
        <f t="array" ref="X17">TIME(T17,U17:U17,V17)</f>
        <v>0.3197800925925926</v>
      </c>
      <c r="Y17" t="str">
        <f t="shared" si="7"/>
        <v>07:40 AM</v>
      </c>
      <c r="Z17">
        <v>7</v>
      </c>
      <c r="AA17">
        <v>16</v>
      </c>
      <c r="AB17">
        <f t="shared" si="8"/>
        <v>1</v>
      </c>
    </row>
    <row r="18" spans="1:2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9"/>
        <v>923</v>
      </c>
      <c r="T18">
        <f t="shared" si="4"/>
        <v>17</v>
      </c>
      <c r="U18">
        <f t="shared" si="5"/>
        <v>15</v>
      </c>
      <c r="V18">
        <f t="shared" si="6"/>
        <v>42</v>
      </c>
      <c r="X18" s="13" cm="1">
        <f t="array" ref="X18">TIME(T18,U18:U18,V18)</f>
        <v>0.71923611111111108</v>
      </c>
      <c r="Y18" t="str">
        <f t="shared" si="7"/>
        <v>05:15 PM</v>
      </c>
      <c r="Z18">
        <v>17</v>
      </c>
      <c r="AA18">
        <v>17</v>
      </c>
      <c r="AB18">
        <f t="shared" si="8"/>
        <v>7</v>
      </c>
    </row>
    <row r="19" spans="1:2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9"/>
        <v>855</v>
      </c>
      <c r="T19">
        <f t="shared" si="4"/>
        <v>17</v>
      </c>
      <c r="U19">
        <f t="shared" si="5"/>
        <v>25</v>
      </c>
      <c r="V19">
        <f t="shared" si="6"/>
        <v>57</v>
      </c>
      <c r="X19" s="13" cm="1">
        <f t="array" ref="X19">TIME(T19,U19:U19,V19)</f>
        <v>0.72635416666666663</v>
      </c>
      <c r="Y19" t="str">
        <f t="shared" si="7"/>
        <v>05:25 PM</v>
      </c>
      <c r="Z19">
        <v>17</v>
      </c>
      <c r="AA19">
        <v>18</v>
      </c>
      <c r="AB19">
        <f t="shared" si="8"/>
        <v>0</v>
      </c>
    </row>
    <row r="20" spans="1:2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9"/>
        <v>777</v>
      </c>
      <c r="T20">
        <f t="shared" si="4"/>
        <v>7</v>
      </c>
      <c r="U20">
        <f t="shared" si="5"/>
        <v>0</v>
      </c>
      <c r="V20">
        <f t="shared" si="6"/>
        <v>3</v>
      </c>
      <c r="X20" s="13" cm="1">
        <f t="array" ref="X20">TIME(T20,U20:U20,V20)</f>
        <v>0.29170138888888891</v>
      </c>
      <c r="Y20" t="str">
        <f t="shared" si="7"/>
        <v>07:00 AM</v>
      </c>
      <c r="Z20">
        <v>7</v>
      </c>
      <c r="AA20">
        <v>19</v>
      </c>
      <c r="AB20">
        <f t="shared" si="8"/>
        <v>0</v>
      </c>
    </row>
    <row r="21" spans="1:2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9"/>
        <v>851</v>
      </c>
      <c r="T21">
        <f t="shared" si="4"/>
        <v>17</v>
      </c>
      <c r="U21">
        <f t="shared" si="5"/>
        <v>45</v>
      </c>
      <c r="V21">
        <f t="shared" si="6"/>
        <v>26</v>
      </c>
      <c r="X21" s="13" cm="1">
        <f t="array" ref="X21">TIME(T21,U21:U21,V21)</f>
        <v>0.73988425925925927</v>
      </c>
      <c r="Y21" t="str">
        <f t="shared" si="7"/>
        <v>05:45 PM</v>
      </c>
      <c r="Z21">
        <v>17</v>
      </c>
      <c r="AA21">
        <v>20</v>
      </c>
      <c r="AB21">
        <f t="shared" si="8"/>
        <v>0</v>
      </c>
    </row>
    <row r="22" spans="1:28" x14ac:dyDescent="0.3">
      <c r="AA22">
        <v>21</v>
      </c>
      <c r="AB22">
        <f t="shared" si="8"/>
        <v>0</v>
      </c>
    </row>
    <row r="23" spans="1:28" x14ac:dyDescent="0.3">
      <c r="AA23">
        <v>22</v>
      </c>
      <c r="AB23">
        <f t="shared" si="8"/>
        <v>0</v>
      </c>
    </row>
    <row r="24" spans="1:28" x14ac:dyDescent="0.3">
      <c r="AA24">
        <v>23</v>
      </c>
      <c r="AB24">
        <f t="shared" si="8"/>
        <v>0</v>
      </c>
    </row>
    <row r="25" spans="1:28" x14ac:dyDescent="0.3">
      <c r="AA25">
        <v>24</v>
      </c>
      <c r="AB25">
        <f t="shared" si="8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baseColWidth="10" defaultColWidth="8.88671875"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9.6640625" bestFit="1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46273</v>
      </c>
      <c r="R2">
        <f ca="1">DATEDIF(D2,$P$2,"D")</f>
        <v>1302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1218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1145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1100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1025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971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919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865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815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793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818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1322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1271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1195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1105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1055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923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855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777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baseColWidth="10" defaultColWidth="8.88671875"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Joe Moussa Diegane Sarr</cp:lastModifiedBy>
  <dcterms:created xsi:type="dcterms:W3CDTF">2015-06-05T18:17:20Z</dcterms:created>
  <dcterms:modified xsi:type="dcterms:W3CDTF">2026-09-08T13:28:13Z</dcterms:modified>
</cp:coreProperties>
</file>